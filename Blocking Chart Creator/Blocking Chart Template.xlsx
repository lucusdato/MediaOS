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lucusdato/Downloads/"/>
    </mc:Choice>
  </mc:AlternateContent>
  <xr:revisionPtr revIDLastSave="0" documentId="13_ncr:1_{8010FB78-D365-2C4F-AC11-78AFF728D778}" xr6:coauthVersionLast="47" xr6:coauthVersionMax="47" xr10:uidLastSave="{00000000-0000-0000-0000-000000000000}"/>
  <bookViews>
    <workbookView xWindow="0" yWindow="780" windowWidth="36000" windowHeight="22600" tabRatio="500" xr2:uid="{00000000-000D-0000-FFFF-FFFF00000000}"/>
  </bookViews>
  <sheets>
    <sheet name="Blocking Chart" sheetId="1" r:id="rId1"/>
    <sheet name="Targeting Digital" sheetId="2" state="hidden" r:id="rId2"/>
    <sheet name="Target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" i="1" l="1"/>
  <c r="Y23" i="1" s="1"/>
  <c r="Y30" i="1"/>
  <c r="X30" i="1"/>
  <c r="W30" i="1"/>
  <c r="V30" i="1"/>
  <c r="U30" i="1"/>
  <c r="R29" i="1"/>
  <c r="Z29" i="1" s="1"/>
  <c r="R28" i="1"/>
  <c r="Z28" i="1" s="1"/>
  <c r="X27" i="1"/>
  <c r="X34" i="1" s="1"/>
  <c r="W27" i="1"/>
  <c r="W34" i="1" s="1"/>
  <c r="V27" i="1"/>
  <c r="V34" i="1" s="1"/>
  <c r="U27" i="1"/>
  <c r="U34" i="1" s="1"/>
  <c r="R26" i="1"/>
  <c r="V26" i="1" s="1"/>
  <c r="R25" i="1"/>
  <c r="Y25" i="1" s="1"/>
  <c r="X24" i="1"/>
  <c r="X33" i="1" s="1"/>
  <c r="W24" i="1"/>
  <c r="W33" i="1" s="1"/>
  <c r="U24" i="1"/>
  <c r="U33" i="1" s="1"/>
  <c r="R22" i="1"/>
  <c r="Y22" i="1" s="1"/>
  <c r="X21" i="1"/>
  <c r="X32" i="1" s="1"/>
  <c r="U21" i="1"/>
  <c r="U32" i="1" s="1"/>
  <c r="AB20" i="1"/>
  <c r="R20" i="1"/>
  <c r="AB19" i="1"/>
  <c r="AB18" i="1" s="1"/>
  <c r="AB31" i="1" s="1"/>
  <c r="R19" i="1"/>
  <c r="R18" i="1" s="1"/>
  <c r="R31" i="1" s="1"/>
  <c r="AA18" i="1"/>
  <c r="AA31" i="1" s="1"/>
  <c r="Z18" i="1"/>
  <c r="Z31" i="1" s="1"/>
  <c r="Y18" i="1"/>
  <c r="Y31" i="1" s="1"/>
  <c r="X18" i="1"/>
  <c r="X31" i="1" s="1"/>
  <c r="W18" i="1"/>
  <c r="W31" i="1" s="1"/>
  <c r="V18" i="1"/>
  <c r="V31" i="1" s="1"/>
  <c r="U18" i="1"/>
  <c r="U31" i="1" s="1"/>
  <c r="AB17" i="1"/>
  <c r="R17" i="1"/>
  <c r="AB16" i="1"/>
  <c r="AB15" i="1" s="1"/>
  <c r="AB30" i="1" s="1"/>
  <c r="R16" i="1"/>
  <c r="R15" i="1" s="1"/>
  <c r="R30" i="1" s="1"/>
  <c r="AA15" i="1"/>
  <c r="AA30" i="1" s="1"/>
  <c r="Z15" i="1"/>
  <c r="Z30" i="1" s="1"/>
  <c r="Y15" i="1"/>
  <c r="X15" i="1"/>
  <c r="W15" i="1"/>
  <c r="V15" i="1"/>
  <c r="U15" i="1"/>
  <c r="F7" i="1"/>
  <c r="Z23" i="1" l="1"/>
  <c r="V23" i="1"/>
  <c r="AA23" i="1" s="1"/>
  <c r="AB23" i="1" s="1"/>
  <c r="W23" i="1" s="1"/>
  <c r="Z27" i="1"/>
  <c r="Z34" i="1" s="1"/>
  <c r="U35" i="1"/>
  <c r="Z25" i="1"/>
  <c r="Y26" i="1"/>
  <c r="Y24" i="1" s="1"/>
  <c r="Y33" i="1" s="1"/>
  <c r="Z26" i="1"/>
  <c r="Z22" i="1"/>
  <c r="X35" i="1"/>
  <c r="Y21" i="1"/>
  <c r="Y32" i="1" s="1"/>
  <c r="Z21" i="1"/>
  <c r="Z32" i="1" s="1"/>
  <c r="R27" i="1"/>
  <c r="R34" i="1" s="1"/>
  <c r="Y29" i="1"/>
  <c r="AA29" i="1" s="1"/>
  <c r="AB29" i="1" s="1"/>
  <c r="Y28" i="1"/>
  <c r="Z24" i="1"/>
  <c r="Z33" i="1" s="1"/>
  <c r="V22" i="1"/>
  <c r="R21" i="1"/>
  <c r="R32" i="1" s="1"/>
  <c r="R35" i="1" s="1"/>
  <c r="V25" i="1"/>
  <c r="R24" i="1"/>
  <c r="R33" i="1" s="1"/>
  <c r="AA26" i="1" l="1"/>
  <c r="AB26" i="1" s="1"/>
  <c r="Z35" i="1"/>
  <c r="AA25" i="1"/>
  <c r="V24" i="1"/>
  <c r="V33" i="1" s="1"/>
  <c r="AA22" i="1"/>
  <c r="V21" i="1"/>
  <c r="V32" i="1" s="1"/>
  <c r="V35" i="1" s="1"/>
  <c r="AA28" i="1"/>
  <c r="Y27" i="1"/>
  <c r="Y34" i="1" s="1"/>
  <c r="Y35" i="1" s="1"/>
  <c r="AB28" i="1" l="1"/>
  <c r="AB27" i="1" s="1"/>
  <c r="AB34" i="1" s="1"/>
  <c r="AA27" i="1"/>
  <c r="AA34" i="1" s="1"/>
  <c r="AA21" i="1"/>
  <c r="AA32" i="1" s="1"/>
  <c r="AB22" i="1"/>
  <c r="AA24" i="1"/>
  <c r="AA33" i="1" s="1"/>
  <c r="AB25" i="1"/>
  <c r="AB24" i="1" s="1"/>
  <c r="AB33" i="1" s="1"/>
  <c r="W22" i="1" l="1"/>
  <c r="W21" i="1" s="1"/>
  <c r="W32" i="1" s="1"/>
  <c r="W35" i="1" s="1"/>
  <c r="AB21" i="1"/>
  <c r="AB32" i="1" s="1"/>
  <c r="AB35" i="1" s="1"/>
  <c r="F9" i="1" s="1"/>
  <c r="AA35" i="1"/>
  <c r="F10" i="1" s="1"/>
  <c r="F11" i="1" l="1"/>
</calcChain>
</file>

<file path=xl/sharedStrings.xml><?xml version="1.0" encoding="utf-8"?>
<sst xmlns="http://schemas.openxmlformats.org/spreadsheetml/2006/main" count="78" uniqueCount="68">
  <si>
    <t>Client:</t>
  </si>
  <si>
    <t>Brand:</t>
  </si>
  <si>
    <t>Campaign:</t>
  </si>
  <si>
    <t>Prisma ID (this will be input when Prisma shell is created)</t>
  </si>
  <si>
    <t>Original/Revision Date:</t>
  </si>
  <si>
    <t>Flight Dates:</t>
  </si>
  <si>
    <t>Planned Net Media:</t>
  </si>
  <si>
    <t>Estimated Fees:</t>
  </si>
  <si>
    <t>Total Gross Budget:</t>
  </si>
  <si>
    <t>ACTIVATION - BUDGET NET</t>
  </si>
  <si>
    <t>Channel</t>
  </si>
  <si>
    <t>Platform</t>
  </si>
  <si>
    <t>Media type</t>
  </si>
  <si>
    <t>Buy Type</t>
  </si>
  <si>
    <t>Objective</t>
  </si>
  <si>
    <t>Campaign Details - Placements</t>
  </si>
  <si>
    <t>Accutics Campaign Name</t>
  </si>
  <si>
    <t>Tags Required</t>
  </si>
  <si>
    <t>Measurement</t>
  </si>
  <si>
    <t>Language</t>
  </si>
  <si>
    <t xml:space="preserve">Ad Format </t>
  </si>
  <si>
    <t>Estimated Viewability % Rates</t>
  </si>
  <si>
    <t>KPI</t>
  </si>
  <si>
    <t>KPI Value</t>
  </si>
  <si>
    <t>Target</t>
  </si>
  <si>
    <t>Est. CPM</t>
  </si>
  <si>
    <t>Est. Impressions/GRPs</t>
  </si>
  <si>
    <t>Start Date</t>
  </si>
  <si>
    <t>End Date</t>
  </si>
  <si>
    <t>Gross Budget</t>
  </si>
  <si>
    <t>Ad Serving</t>
  </si>
  <si>
    <t>Tech Fees</t>
  </si>
  <si>
    <t>Data Fees</t>
  </si>
  <si>
    <t>DV Cost Prebid</t>
  </si>
  <si>
    <t>DV Cost Postbid</t>
  </si>
  <si>
    <t>Buffer (+30%)</t>
  </si>
  <si>
    <t>Net Budget</t>
  </si>
  <si>
    <t>LINEAR TELEVISION</t>
  </si>
  <si>
    <t>OUT OF HOME</t>
  </si>
  <si>
    <t>PROGRAMMATIC VIDEO</t>
  </si>
  <si>
    <t>CONNECTED TV</t>
  </si>
  <si>
    <t>SOCIAL</t>
  </si>
  <si>
    <t>TOTAL LINEAR</t>
  </si>
  <si>
    <t>TOTAL OUT OF HOME</t>
  </si>
  <si>
    <t>TOTAL PROGRAMMATIC VIDEO</t>
  </si>
  <si>
    <t>TOTAL CONNECTED TV</t>
  </si>
  <si>
    <t>TOTAL SOCIAL</t>
  </si>
  <si>
    <t>TOTAL</t>
  </si>
  <si>
    <t>*estimation output degrades and is less reliable with audience sizes below 200K</t>
  </si>
  <si>
    <t>*Note all media metrics are estimates only and subject to change based on available inventory supply and demand.</t>
  </si>
  <si>
    <t>Data type</t>
  </si>
  <si>
    <t>Targeting type</t>
  </si>
  <si>
    <t xml:space="preserve">Targeting </t>
  </si>
  <si>
    <t>Targeting method</t>
  </si>
  <si>
    <t>EG ROW, PLEASE DELETE/
REPLACE</t>
  </si>
  <si>
    <t>TTD</t>
  </si>
  <si>
    <t>3P</t>
  </si>
  <si>
    <t xml:space="preserve">Behaviourial </t>
  </si>
  <si>
    <t>Content Consumption audiences built by TTD team using keywords:</t>
  </si>
  <si>
    <t>Data segment available in TTD</t>
  </si>
  <si>
    <t>&gt;Brand Content Consumption</t>
  </si>
  <si>
    <t>&gt;Competitor Brand Consumption (Pedialyte, Gatorade, Nuun)</t>
  </si>
  <si>
    <t>&gt;Hydration Category Consumption</t>
  </si>
  <si>
    <t>&gt;Fitness Category Consumption</t>
  </si>
  <si>
    <t>&gt;Social Extension (Hashtags: Hydration Hacks, Hangover Cures, Healthy Habits)</t>
  </si>
  <si>
    <t>Data Alliance &gt; Interest &gt; Page Level &gt; Health &amp; Wellness &gt; Fitness &amp; Exercise</t>
  </si>
  <si>
    <t>Data Alliance &gt; Health &amp; Wellness &gt; Fitness &amp; Exercise</t>
  </si>
  <si>
    <t>Data Alliance &gt; CPG &gt; Health &amp; Wellness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</si>
</sst>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* #,##0_);_(* \(#,##0\);_(* \-??_);_(@_)"/>
    <numFmt numFmtId="165" formatCode="_-* #,##0_-;\-* #,##0_-;_-* \-??_-;_-@_-"/>
    <numFmt numFmtId="166" formatCode="_(\$* #,##0.00_);_(\$* \(#,##0.00\);_(\$* \-??_);_(@_)"/>
    <numFmt numFmtId="167" formatCode="\$#,##0.00"/>
    <numFmt numFmtId="168" formatCode="_-\$* #,##0.00_-;&quot;-$&quot;* #,##0.00_-;_-\$* \-??_-;_-@_-"/>
    <numFmt numFmtId="169" formatCode="\$#,##0"/>
    <numFmt numFmtId="170" formatCode="m/d/yyyy\ h:mm"/>
    <numFmt numFmtId="171" formatCode="d\-mmm\-yy"/>
    <numFmt numFmtId="172" formatCode="d\-mmm"/>
    <numFmt numFmtId="173" formatCode="[$-409]d\-mmm;@"/>
    <numFmt numFmtId="174" formatCode="_-* #,##0.00_-;\-* #,##0.00_-;_-* \-??_-;_-@_-"/>
    <numFmt numFmtId="175" formatCode="_(* #,##0.00_);_(* \(#,##0.00\);_(* \-??_);_(@_)"/>
    <numFmt numFmtId="176" formatCode="\$#,##0.0"/>
  </numFmts>
  <fonts count="27" x14ac:knownFonts="1">
    <font>
      <sz val="11"/>
      <color theme="1"/>
      <name val="Aptos Narrow"/>
      <family val="2"/>
      <charset val="1"/>
    </font>
    <font>
      <b/>
      <sz val="11"/>
      <color theme="0"/>
      <name val="Aptos Narrow"/>
      <family val="2"/>
      <charset val="1"/>
    </font>
    <font>
      <sz val="11"/>
      <color rgb="FF006100"/>
      <name val="Aptos Narrow"/>
      <family val="2"/>
      <charset val="1"/>
    </font>
    <font>
      <sz val="10"/>
      <name val="Arial"/>
      <family val="2"/>
      <charset val="1"/>
    </font>
    <font>
      <b/>
      <sz val="11"/>
      <color rgb="FFFFFFFF"/>
      <name val="Calibri"/>
      <family val="2"/>
      <charset val="1"/>
    </font>
    <font>
      <sz val="11"/>
      <color theme="1"/>
      <name val="Arial"/>
      <family val="2"/>
      <charset val="1"/>
    </font>
    <font>
      <sz val="10"/>
      <color rgb="FFFFFFFF"/>
      <name val="Arial"/>
      <family val="2"/>
      <charset val="1"/>
    </font>
    <font>
      <sz val="11"/>
      <color rgb="FFFF0000"/>
      <name val="Aptos Narrow"/>
      <family val="2"/>
      <charset val="1"/>
    </font>
    <font>
      <sz val="12"/>
      <color rgb="FFFF0000"/>
      <name val="Aptos Narrow"/>
      <family val="2"/>
      <charset val="1"/>
    </font>
    <font>
      <sz val="12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sz val="12"/>
      <color rgb="FF000000"/>
      <name val="Aptos Narrow"/>
      <family val="2"/>
      <charset val="1"/>
    </font>
    <font>
      <sz val="12"/>
      <name val="Aptos Narrow"/>
      <family val="2"/>
      <charset val="1"/>
    </font>
    <font>
      <b/>
      <sz val="12"/>
      <name val="Aptos Narrow"/>
      <family val="2"/>
      <charset val="1"/>
    </font>
    <font>
      <b/>
      <sz val="12"/>
      <color rgb="FF000000"/>
      <name val="Aptos Narrow"/>
      <family val="2"/>
      <charset val="1"/>
    </font>
    <font>
      <b/>
      <sz val="12"/>
      <color rgb="FFFF0000"/>
      <name val="Aptos Narrow"/>
      <family val="2"/>
      <charset val="1"/>
    </font>
    <font>
      <b/>
      <sz val="11"/>
      <name val="Aptos Narrow"/>
      <family val="2"/>
      <charset val="1"/>
    </font>
    <font>
      <b/>
      <sz val="12"/>
      <color theme="0"/>
      <name val="Aptos Narrow"/>
      <family val="2"/>
      <charset val="1"/>
    </font>
    <font>
      <b/>
      <u/>
      <sz val="14"/>
      <color rgb="FF000000"/>
      <name val="Calibri"/>
      <family val="2"/>
      <charset val="1"/>
    </font>
    <font>
      <sz val="12"/>
      <name val="Aptos Narrow"/>
    </font>
    <font>
      <sz val="11"/>
      <color rgb="FF000000"/>
      <name val="Aptos Narrow"/>
      <family val="2"/>
      <charset val="1"/>
    </font>
    <font>
      <b/>
      <i/>
      <sz val="12"/>
      <color rgb="FF000000"/>
      <name val="Aptos Narrow"/>
      <family val="2"/>
      <charset val="1"/>
    </font>
    <font>
      <i/>
      <sz val="11"/>
      <color rgb="FFFF0000"/>
      <name val="Aptos Narrow"/>
      <family val="2"/>
      <charset val="1"/>
    </font>
    <font>
      <i/>
      <sz val="11"/>
      <color rgb="FFFF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theme="1"/>
      <name val="Aptos Narrow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A5A5A5"/>
        <bgColor rgb="FFBFBFBF"/>
      </patternFill>
    </fill>
    <fill>
      <patternFill patternType="solid">
        <fgColor rgb="FFC6EFCE"/>
        <bgColor rgb="FFCCFFFF"/>
      </patternFill>
    </fill>
    <fill>
      <patternFill patternType="solid">
        <fgColor rgb="FFFF0000"/>
        <bgColor rgb="FF993300"/>
      </patternFill>
    </fill>
    <fill>
      <patternFill patternType="solid">
        <fgColor theme="0"/>
        <bgColor rgb="FFFFFFCC"/>
      </patternFill>
    </fill>
    <fill>
      <patternFill patternType="solid">
        <fgColor theme="1"/>
        <bgColor rgb="FF0E2841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4" tint="-0.499984740745262"/>
        <bgColor rgb="FF0E2841"/>
      </patternFill>
    </fill>
    <fill>
      <patternFill patternType="solid">
        <fgColor theme="3"/>
        <bgColor rgb="FF0B3041"/>
      </patternFill>
    </fill>
    <fill>
      <patternFill patternType="solid">
        <fgColor rgb="FF002060"/>
        <bgColor rgb="FF0E2841"/>
      </patternFill>
    </fill>
  </fills>
  <borders count="1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2" borderId="1"/>
    <xf numFmtId="175" fontId="26" fillId="0" borderId="0"/>
    <xf numFmtId="166" fontId="26" fillId="0" borderId="0"/>
    <xf numFmtId="0" fontId="2" fillId="3" borderId="0"/>
    <xf numFmtId="0" fontId="3" fillId="0" borderId="0"/>
    <xf numFmtId="0" fontId="4" fillId="0" borderId="0"/>
    <xf numFmtId="0" fontId="26" fillId="0" borderId="0"/>
    <xf numFmtId="0" fontId="5" fillId="0" borderId="0"/>
    <xf numFmtId="176" fontId="6" fillId="4" borderId="2">
      <alignment horizontal="center"/>
    </xf>
  </cellStyleXfs>
  <cellXfs count="94">
    <xf numFmtId="0" fontId="0" fillId="0" borderId="0" xfId="0"/>
    <xf numFmtId="0" fontId="23" fillId="0" borderId="5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66" fontId="8" fillId="5" borderId="0" xfId="0" applyNumberFormat="1" applyFont="1" applyFill="1" applyAlignment="1">
      <alignment horizontal="center" vertical="center"/>
    </xf>
    <xf numFmtId="164" fontId="8" fillId="5" borderId="0" xfId="0" applyNumberFormat="1" applyFont="1" applyFill="1" applyAlignment="1">
      <alignment horizontal="right" vertical="center"/>
    </xf>
    <xf numFmtId="167" fontId="7" fillId="5" borderId="0" xfId="0" applyNumberFormat="1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168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10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right" vertical="center"/>
    </xf>
    <xf numFmtId="169" fontId="10" fillId="5" borderId="0" xfId="0" applyNumberFormat="1" applyFont="1" applyFill="1" applyAlignment="1">
      <alignment horizontal="center" vertical="center"/>
    </xf>
    <xf numFmtId="169" fontId="9" fillId="5" borderId="0" xfId="0" applyNumberFormat="1" applyFont="1" applyFill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5" borderId="0" xfId="0" applyFont="1" applyFill="1" applyAlignment="1">
      <alignment horizontal="left" vertical="center" wrapText="1"/>
    </xf>
    <xf numFmtId="0" fontId="13" fillId="5" borderId="0" xfId="0" applyFont="1" applyFill="1" applyAlignment="1">
      <alignment horizontal="right" vertical="center" wrapText="1"/>
    </xf>
    <xf numFmtId="0" fontId="12" fillId="5" borderId="0" xfId="0" applyFont="1" applyFill="1" applyAlignment="1">
      <alignment horizontal="center" vertical="center"/>
    </xf>
    <xf numFmtId="0" fontId="14" fillId="5" borderId="3" xfId="0" applyFont="1" applyFill="1" applyBorder="1" applyAlignment="1">
      <alignment horizontal="center" vertical="center" wrapText="1"/>
    </xf>
    <xf numFmtId="170" fontId="9" fillId="5" borderId="0" xfId="0" applyNumberFormat="1" applyFont="1" applyFill="1" applyAlignment="1">
      <alignment horizontal="center" vertical="center"/>
    </xf>
    <xf numFmtId="171" fontId="11" fillId="5" borderId="3" xfId="0" applyNumberFormat="1" applyFont="1" applyFill="1" applyBorder="1" applyAlignment="1">
      <alignment horizontal="center" vertical="center"/>
    </xf>
    <xf numFmtId="172" fontId="11" fillId="5" borderId="3" xfId="0" applyNumberFormat="1" applyFont="1" applyFill="1" applyBorder="1" applyAlignment="1">
      <alignment horizontal="center" vertical="center"/>
    </xf>
    <xf numFmtId="172" fontId="11" fillId="0" borderId="0" xfId="0" applyNumberFormat="1" applyFont="1" applyAlignment="1">
      <alignment vertical="center"/>
    </xf>
    <xf numFmtId="172" fontId="15" fillId="0" borderId="0" xfId="0" applyNumberFormat="1" applyFont="1" applyAlignment="1">
      <alignment horizontal="left" vertical="center"/>
    </xf>
    <xf numFmtId="172" fontId="11" fillId="0" borderId="0" xfId="0" applyNumberFormat="1" applyFont="1" applyAlignment="1">
      <alignment horizontal="left" vertical="center"/>
    </xf>
    <xf numFmtId="167" fontId="9" fillId="5" borderId="3" xfId="0" applyNumberFormat="1" applyFont="1" applyFill="1" applyBorder="1" applyAlignment="1">
      <alignment horizontal="center" vertical="center"/>
    </xf>
    <xf numFmtId="167" fontId="8" fillId="5" borderId="0" xfId="0" applyNumberFormat="1" applyFont="1" applyFill="1" applyAlignment="1">
      <alignment horizontal="center" vertical="center"/>
    </xf>
    <xf numFmtId="167" fontId="10" fillId="5" borderId="0" xfId="0" applyNumberFormat="1" applyFont="1" applyFill="1" applyAlignment="1">
      <alignment horizontal="center" vertical="center"/>
    </xf>
    <xf numFmtId="167" fontId="9" fillId="5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168" fontId="7" fillId="5" borderId="0" xfId="0" applyNumberFormat="1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166" fontId="17" fillId="6" borderId="4" xfId="0" applyNumberFormat="1" applyFont="1" applyFill="1" applyBorder="1" applyAlignment="1">
      <alignment horizontal="center" vertical="center"/>
    </xf>
    <xf numFmtId="164" fontId="17" fillId="6" borderId="4" xfId="0" applyNumberFormat="1" applyFont="1" applyFill="1" applyBorder="1" applyAlignment="1">
      <alignment horizontal="right" vertical="center"/>
    </xf>
    <xf numFmtId="167" fontId="7" fillId="6" borderId="3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18" fillId="5" borderId="0" xfId="0" applyFont="1" applyFill="1"/>
    <xf numFmtId="0" fontId="10" fillId="7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166" fontId="10" fillId="7" borderId="3" xfId="0" applyNumberFormat="1" applyFont="1" applyFill="1" applyBorder="1" applyAlignment="1">
      <alignment horizontal="center" vertical="center"/>
    </xf>
    <xf numFmtId="164" fontId="10" fillId="7" borderId="3" xfId="0" applyNumberFormat="1" applyFont="1" applyFill="1" applyBorder="1" applyAlignment="1">
      <alignment horizontal="center" vertical="center" wrapText="1"/>
    </xf>
    <xf numFmtId="167" fontId="10" fillId="7" borderId="3" xfId="0" applyNumberFormat="1" applyFont="1" applyFill="1" applyBorder="1" applyAlignment="1">
      <alignment horizontal="center" vertical="center"/>
    </xf>
    <xf numFmtId="0" fontId="19" fillId="0" borderId="0" xfId="0" applyFont="1"/>
    <xf numFmtId="0" fontId="13" fillId="6" borderId="3" xfId="0" applyFont="1" applyFill="1" applyBorder="1" applyAlignment="1">
      <alignment horizontal="center" vertical="center"/>
    </xf>
    <xf numFmtId="166" fontId="17" fillId="6" borderId="3" xfId="0" applyNumberFormat="1" applyFont="1" applyFill="1" applyBorder="1" applyAlignment="1">
      <alignment horizontal="center" vertical="center"/>
    </xf>
    <xf numFmtId="3" fontId="17" fillId="6" borderId="3" xfId="0" applyNumberFormat="1" applyFont="1" applyFill="1" applyBorder="1" applyAlignment="1">
      <alignment horizontal="right" vertical="center"/>
    </xf>
    <xf numFmtId="168" fontId="17" fillId="6" borderId="3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167" fontId="11" fillId="0" borderId="3" xfId="0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right" vertical="center" wrapText="1"/>
    </xf>
    <xf numFmtId="173" fontId="11" fillId="0" borderId="3" xfId="0" applyNumberFormat="1" applyFont="1" applyBorder="1" applyAlignment="1">
      <alignment horizontal="center" vertical="center" wrapText="1"/>
    </xf>
    <xf numFmtId="168" fontId="20" fillId="0" borderId="3" xfId="0" applyNumberFormat="1" applyFont="1" applyBorder="1" applyAlignment="1">
      <alignment horizontal="center" vertical="center" wrapText="1"/>
    </xf>
    <xf numFmtId="174" fontId="19" fillId="0" borderId="0" xfId="0" applyNumberFormat="1" applyFont="1"/>
    <xf numFmtId="9" fontId="11" fillId="0" borderId="3" xfId="0" applyNumberFormat="1" applyFont="1" applyBorder="1" applyAlignment="1">
      <alignment horizontal="center" vertical="center" wrapText="1"/>
    </xf>
    <xf numFmtId="10" fontId="11" fillId="0" borderId="3" xfId="0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165" fontId="10" fillId="7" borderId="3" xfId="0" applyNumberFormat="1" applyFont="1" applyFill="1" applyBorder="1" applyAlignment="1">
      <alignment horizontal="right" vertical="center"/>
    </xf>
    <xf numFmtId="167" fontId="10" fillId="7" borderId="4" xfId="0" applyNumberFormat="1" applyFont="1" applyFill="1" applyBorder="1" applyAlignment="1">
      <alignment horizontal="right" vertical="center"/>
    </xf>
    <xf numFmtId="164" fontId="17" fillId="9" borderId="3" xfId="0" applyNumberFormat="1" applyFont="1" applyFill="1" applyBorder="1" applyAlignment="1">
      <alignment horizontal="right" vertical="center"/>
    </xf>
    <xf numFmtId="167" fontId="17" fillId="9" borderId="3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0" fontId="4" fillId="10" borderId="3" xfId="0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4" fillId="0" borderId="3" xfId="0" applyFont="1" applyBorder="1" applyAlignment="1">
      <alignment vertical="center" wrapText="1"/>
    </xf>
    <xf numFmtId="0" fontId="25" fillId="0" borderId="3" xfId="0" applyFont="1" applyBorder="1" applyAlignment="1">
      <alignment vertical="center" wrapText="1"/>
    </xf>
    <xf numFmtId="0" fontId="25" fillId="5" borderId="3" xfId="0" applyFont="1" applyFill="1" applyBorder="1" applyAlignment="1">
      <alignment vertical="center" wrapText="1"/>
    </xf>
    <xf numFmtId="0" fontId="24" fillId="5" borderId="3" xfId="0" applyFont="1" applyFill="1" applyBorder="1" applyAlignment="1">
      <alignment vertical="center" wrapText="1"/>
    </xf>
    <xf numFmtId="165" fontId="10" fillId="7" borderId="4" xfId="0" applyNumberFormat="1" applyFont="1" applyFill="1" applyBorder="1" applyAlignment="1">
      <alignment horizontal="right" vertical="center"/>
    </xf>
    <xf numFmtId="0" fontId="8" fillId="5" borderId="3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right" vertical="center"/>
    </xf>
    <xf numFmtId="0" fontId="0" fillId="0" borderId="9" xfId="0" applyBorder="1"/>
    <xf numFmtId="0" fontId="0" fillId="0" borderId="10" xfId="0" applyBorder="1"/>
    <xf numFmtId="165" fontId="10" fillId="8" borderId="6" xfId="0" applyNumberFormat="1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0" fillId="0" borderId="13" xfId="0" applyBorder="1"/>
    <xf numFmtId="0" fontId="17" fillId="9" borderId="3" xfId="0" applyFont="1" applyFill="1" applyBorder="1" applyAlignment="1">
      <alignment horizontal="right" vertical="center"/>
    </xf>
    <xf numFmtId="0" fontId="0" fillId="0" borderId="12" xfId="0" applyBorder="1"/>
    <xf numFmtId="0" fontId="17" fillId="6" borderId="5" xfId="0" applyFont="1" applyFill="1" applyBorder="1" applyAlignment="1">
      <alignment horizontal="center" vertical="center"/>
    </xf>
    <xf numFmtId="0" fontId="0" fillId="0" borderId="11" xfId="0" applyBorder="1"/>
    <xf numFmtId="164" fontId="17" fillId="9" borderId="3" xfId="0" applyNumberFormat="1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0" fillId="0" borderId="8" xfId="0" applyBorder="1"/>
    <xf numFmtId="0" fontId="0" fillId="0" borderId="4" xfId="0" applyBorder="1"/>
    <xf numFmtId="0" fontId="22" fillId="0" borderId="7" xfId="0" applyFont="1" applyBorder="1" applyAlignment="1">
      <alignment horizontal="center" vertical="center" wrapText="1"/>
    </xf>
    <xf numFmtId="0" fontId="0" fillId="0" borderId="7" xfId="0" applyBorder="1"/>
    <xf numFmtId="0" fontId="23" fillId="0" borderId="5" xfId="0" applyFont="1" applyBorder="1" applyAlignment="1">
      <alignment horizontal="center" vertical="center" wrapText="1"/>
    </xf>
  </cellXfs>
  <cellStyles count="10">
    <cellStyle name="Check Cell 2" xfId="1" xr:uid="{00000000-0005-0000-0000-000001000000}"/>
    <cellStyle name="Comma 2" xfId="2" xr:uid="{00000000-0005-0000-0000-000002000000}"/>
    <cellStyle name="Currency 2" xfId="3" xr:uid="{00000000-0005-0000-0000-000003000000}"/>
    <cellStyle name="Good 2" xfId="4" xr:uid="{00000000-0005-0000-0000-000004000000}"/>
    <cellStyle name="Normal" xfId="0" builtinId="0"/>
    <cellStyle name="Normal 3" xfId="5" xr:uid="{00000000-0005-0000-0000-000005000000}"/>
    <cellStyle name="Normal 4" xfId="6" xr:uid="{00000000-0005-0000-0000-000006000000}"/>
    <cellStyle name="Normal 5" xfId="7" xr:uid="{00000000-0005-0000-0000-000007000000}"/>
    <cellStyle name="Normal 8" xfId="8" xr:uid="{00000000-0005-0000-0000-000008000000}"/>
    <cellStyle name="TV" xfId="9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206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215F9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A5A5A5"/>
      <rgbColor rgb="FF0B3041"/>
      <rgbColor rgb="FF339966"/>
      <rgbColor rgb="FF0E2841"/>
      <rgbColor rgb="FF333300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2:AE86"/>
  <sheetViews>
    <sheetView showGridLines="0" tabSelected="1" topLeftCell="E1" zoomScale="50" zoomScaleNormal="55" workbookViewId="0">
      <selection activeCell="L22" sqref="L22"/>
    </sheetView>
  </sheetViews>
  <sheetFormatPr baseColWidth="10" defaultColWidth="14.33203125" defaultRowHeight="16" x14ac:dyDescent="0.2"/>
  <cols>
    <col min="1" max="1" width="36.6640625" style="4" customWidth="1"/>
    <col min="2" max="2" width="27.83203125" style="5" customWidth="1"/>
    <col min="3" max="3" width="38.33203125" style="5" customWidth="1"/>
    <col min="4" max="4" width="24.5" style="5" customWidth="1"/>
    <col min="5" max="5" width="57.33203125" style="5" customWidth="1"/>
    <col min="6" max="6" width="17.5" style="5" customWidth="1"/>
    <col min="7" max="7" width="65.6640625" style="5" customWidth="1"/>
    <col min="8" max="8" width="25.6640625" style="5" customWidth="1"/>
    <col min="9" max="9" width="14.83203125" style="5" customWidth="1"/>
    <col min="10" max="10" width="15" style="5" customWidth="1"/>
    <col min="11" max="11" width="10.1640625" style="5" customWidth="1"/>
    <col min="12" max="12" width="48.6640625" style="5" customWidth="1"/>
    <col min="13" max="13" width="30.5" style="5" customWidth="1"/>
    <col min="14" max="14" width="6.83203125" style="5" customWidth="1"/>
    <col min="15" max="15" width="11.1640625" style="5" customWidth="1"/>
    <col min="16" max="16" width="60.33203125" style="5" customWidth="1"/>
    <col min="17" max="17" width="11" style="6" customWidth="1"/>
    <col min="18" max="18" width="24" style="7" customWidth="1"/>
    <col min="19" max="19" width="11" style="5" customWidth="1"/>
    <col min="20" max="20" width="10" style="5" customWidth="1"/>
    <col min="21" max="21" width="15.6640625" style="8" customWidth="1"/>
    <col min="22" max="22" width="11.5" style="4" customWidth="1"/>
    <col min="23" max="23" width="13.83203125" style="4" customWidth="1"/>
    <col min="24" max="24" width="10.5" style="4" customWidth="1"/>
    <col min="25" max="25" width="15.83203125" style="4" customWidth="1"/>
    <col min="26" max="26" width="16.83203125" style="4" customWidth="1"/>
    <col min="27" max="27" width="14.33203125" style="4" customWidth="1"/>
    <col min="28" max="28" width="25.33203125" style="4" customWidth="1"/>
    <col min="29" max="30" width="14.33203125" style="4" customWidth="1"/>
    <col min="31" max="31" width="39.5" style="4" customWidth="1"/>
    <col min="32" max="32" width="14.33203125" style="4" customWidth="1"/>
    <col min="33" max="16384" width="14.33203125" style="4"/>
  </cols>
  <sheetData>
    <row r="2" spans="1:31" x14ac:dyDescent="0.2">
      <c r="B2" s="9"/>
      <c r="C2" s="9"/>
      <c r="D2" s="9"/>
      <c r="E2" s="9"/>
      <c r="F2" s="10"/>
      <c r="G2" s="10"/>
      <c r="H2" s="10"/>
      <c r="I2" s="10"/>
      <c r="J2" s="10"/>
      <c r="K2" s="10"/>
      <c r="L2" s="10"/>
      <c r="M2" s="10"/>
      <c r="Q2" s="11"/>
      <c r="R2" s="12"/>
    </row>
    <row r="3" spans="1:31" x14ac:dyDescent="0.2">
      <c r="B3" s="9"/>
      <c r="C3" s="9"/>
      <c r="D3" s="9"/>
      <c r="E3" s="13" t="s">
        <v>0</v>
      </c>
      <c r="F3" s="14"/>
      <c r="G3" s="15"/>
      <c r="H3" s="15"/>
      <c r="I3" s="15"/>
      <c r="J3" s="15"/>
      <c r="K3" s="16"/>
      <c r="Q3" s="11"/>
      <c r="R3" s="12"/>
    </row>
    <row r="4" spans="1:31" x14ac:dyDescent="0.2">
      <c r="B4" s="9"/>
      <c r="C4" s="9"/>
      <c r="D4" s="9"/>
      <c r="E4" s="13" t="s">
        <v>1</v>
      </c>
      <c r="F4" s="14"/>
      <c r="G4" s="15"/>
      <c r="H4" s="15"/>
      <c r="I4" s="15"/>
      <c r="J4" s="15"/>
      <c r="K4" s="17"/>
      <c r="Q4" s="11"/>
      <c r="R4" s="12"/>
    </row>
    <row r="5" spans="1:31" x14ac:dyDescent="0.2">
      <c r="B5" s="9"/>
      <c r="C5" s="9"/>
      <c r="D5" s="9"/>
      <c r="E5" s="13" t="s">
        <v>2</v>
      </c>
      <c r="F5" s="18"/>
      <c r="G5" s="19"/>
      <c r="H5" s="20"/>
      <c r="I5" s="20"/>
      <c r="J5" s="20"/>
      <c r="K5" s="9"/>
      <c r="L5" s="21"/>
      <c r="M5" s="21"/>
      <c r="Q5" s="11"/>
      <c r="R5" s="12"/>
    </row>
    <row r="6" spans="1:31" ht="17" x14ac:dyDescent="0.2">
      <c r="B6" s="9"/>
      <c r="C6" s="9"/>
      <c r="D6" s="9"/>
      <c r="E6" s="22" t="s">
        <v>3</v>
      </c>
      <c r="F6" s="18"/>
      <c r="G6" s="20"/>
      <c r="H6" s="20"/>
      <c r="I6" s="20"/>
      <c r="J6" s="20"/>
      <c r="K6" s="9"/>
      <c r="L6" s="21"/>
      <c r="M6" s="21"/>
      <c r="Q6" s="11"/>
      <c r="R6" s="12"/>
    </row>
    <row r="7" spans="1:31" x14ac:dyDescent="0.2">
      <c r="B7" s="9"/>
      <c r="C7" s="23"/>
      <c r="D7" s="9"/>
      <c r="E7" s="13" t="s">
        <v>4</v>
      </c>
      <c r="F7" s="24">
        <f ca="1">TODAY()</f>
        <v>46088</v>
      </c>
      <c r="G7" s="20"/>
      <c r="H7" s="20"/>
      <c r="I7" s="20"/>
      <c r="J7" s="20"/>
      <c r="K7" s="17"/>
      <c r="Q7" s="11"/>
      <c r="R7" s="12"/>
    </row>
    <row r="8" spans="1:31" x14ac:dyDescent="0.2">
      <c r="B8" s="9"/>
      <c r="C8" s="9"/>
      <c r="D8" s="9"/>
      <c r="E8" s="13" t="s">
        <v>5</v>
      </c>
      <c r="F8" s="25"/>
      <c r="G8" s="26"/>
      <c r="H8" s="27"/>
      <c r="I8" s="28"/>
      <c r="J8" s="28"/>
      <c r="K8" s="16"/>
      <c r="Q8" s="11"/>
      <c r="R8" s="12"/>
    </row>
    <row r="9" spans="1:31" x14ac:dyDescent="0.2">
      <c r="B9" s="10"/>
      <c r="C9" s="10"/>
      <c r="D9" s="10"/>
      <c r="E9" s="13" t="s">
        <v>6</v>
      </c>
      <c r="F9" s="29">
        <f>AB35</f>
        <v>0</v>
      </c>
      <c r="G9" s="30"/>
      <c r="H9" s="30"/>
      <c r="I9" s="30"/>
      <c r="J9" s="30"/>
      <c r="K9" s="9"/>
      <c r="L9" s="16"/>
      <c r="M9" s="16"/>
      <c r="Q9" s="11"/>
      <c r="R9" s="12"/>
      <c r="V9" s="8"/>
      <c r="W9" s="8"/>
      <c r="X9" s="8"/>
      <c r="Y9" s="8"/>
      <c r="Z9" s="8"/>
      <c r="AA9" s="8"/>
      <c r="AB9" s="8"/>
    </row>
    <row r="10" spans="1:31" x14ac:dyDescent="0.2">
      <c r="B10" s="10"/>
      <c r="C10" s="10"/>
      <c r="D10" s="10"/>
      <c r="E10" s="13" t="s">
        <v>7</v>
      </c>
      <c r="F10" s="29">
        <f>AA35</f>
        <v>0</v>
      </c>
      <c r="G10" s="31"/>
      <c r="H10" s="31"/>
      <c r="I10" s="31"/>
      <c r="J10" s="31"/>
      <c r="K10" s="32"/>
      <c r="L10" s="10"/>
      <c r="M10" s="10"/>
      <c r="Q10" s="11"/>
      <c r="R10" s="12"/>
      <c r="V10" s="8"/>
      <c r="W10" s="8"/>
      <c r="X10" s="8"/>
      <c r="Y10" s="8"/>
      <c r="Z10" s="8"/>
      <c r="AA10" s="8"/>
      <c r="AB10" s="8"/>
    </row>
    <row r="11" spans="1:31" x14ac:dyDescent="0.2">
      <c r="B11" s="10"/>
      <c r="C11" s="10"/>
      <c r="D11" s="10"/>
      <c r="E11" s="13" t="s">
        <v>8</v>
      </c>
      <c r="F11" s="29">
        <f>SUM(F9:F10)</f>
        <v>0</v>
      </c>
      <c r="G11" s="10"/>
      <c r="H11" s="10"/>
      <c r="I11" s="10"/>
      <c r="J11" s="10"/>
      <c r="K11" s="9"/>
      <c r="L11" s="10"/>
      <c r="M11" s="10"/>
      <c r="Q11" s="11"/>
      <c r="R11" s="12"/>
      <c r="V11" s="8"/>
      <c r="W11" s="8"/>
      <c r="X11" s="8"/>
      <c r="Y11" s="8"/>
      <c r="Z11" s="8"/>
      <c r="AA11" s="8"/>
      <c r="AB11" s="8"/>
    </row>
    <row r="12" spans="1:31" x14ac:dyDescent="0.2">
      <c r="B12" s="10"/>
      <c r="C12" s="10"/>
      <c r="D12" s="10"/>
      <c r="E12" s="17"/>
      <c r="F12" s="10"/>
      <c r="G12" s="10"/>
      <c r="H12" s="10"/>
      <c r="I12" s="10"/>
      <c r="J12" s="10"/>
      <c r="K12" s="33"/>
      <c r="L12" s="33"/>
      <c r="M12" s="33"/>
      <c r="N12" s="10"/>
      <c r="O12" s="10"/>
      <c r="V12" s="34"/>
      <c r="W12" s="34"/>
      <c r="X12" s="34"/>
      <c r="AB12" s="35" t="s">
        <v>9</v>
      </c>
    </row>
    <row r="13" spans="1:31" ht="19" x14ac:dyDescent="0.25"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7"/>
      <c r="Q13" s="38"/>
      <c r="R13" s="39"/>
      <c r="S13" s="36"/>
      <c r="T13" s="36"/>
      <c r="U13" s="40"/>
      <c r="V13" s="41"/>
      <c r="W13" s="41"/>
      <c r="X13" s="41"/>
      <c r="Y13" s="41"/>
      <c r="Z13" s="41"/>
      <c r="AA13" s="41"/>
      <c r="AB13" s="41"/>
      <c r="AE13" s="42"/>
    </row>
    <row r="14" spans="1:31" ht="17" x14ac:dyDescent="0.2"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43" t="s">
        <v>15</v>
      </c>
      <c r="H14" s="43" t="s">
        <v>16</v>
      </c>
      <c r="I14" s="43" t="s">
        <v>17</v>
      </c>
      <c r="J14" s="43" t="s">
        <v>18</v>
      </c>
      <c r="K14" s="44" t="s">
        <v>19</v>
      </c>
      <c r="L14" s="43" t="s">
        <v>20</v>
      </c>
      <c r="M14" s="43" t="s">
        <v>21</v>
      </c>
      <c r="N14" s="43" t="s">
        <v>22</v>
      </c>
      <c r="O14" s="43" t="s">
        <v>23</v>
      </c>
      <c r="P14" s="43" t="s">
        <v>24</v>
      </c>
      <c r="Q14" s="45" t="s">
        <v>25</v>
      </c>
      <c r="R14" s="46" t="s">
        <v>26</v>
      </c>
      <c r="S14" s="43" t="s">
        <v>27</v>
      </c>
      <c r="T14" s="43" t="s">
        <v>28</v>
      </c>
      <c r="U14" s="47" t="s">
        <v>29</v>
      </c>
      <c r="V14" s="43" t="s">
        <v>30</v>
      </c>
      <c r="W14" s="43" t="s">
        <v>31</v>
      </c>
      <c r="X14" s="43" t="s">
        <v>32</v>
      </c>
      <c r="Y14" s="44" t="s">
        <v>33</v>
      </c>
      <c r="Z14" s="44" t="s">
        <v>34</v>
      </c>
      <c r="AA14" s="43" t="s">
        <v>35</v>
      </c>
      <c r="AB14" s="43" t="s">
        <v>36</v>
      </c>
    </row>
    <row r="15" spans="1:31" x14ac:dyDescent="0.2">
      <c r="A15" s="48"/>
      <c r="B15" s="85" t="s">
        <v>37</v>
      </c>
      <c r="C15" s="86"/>
      <c r="D15" s="3"/>
      <c r="E15" s="3"/>
      <c r="F15" s="3"/>
      <c r="G15" s="3"/>
      <c r="H15" s="3"/>
      <c r="I15" s="3"/>
      <c r="J15" s="3"/>
      <c r="K15" s="3"/>
      <c r="L15" s="3"/>
      <c r="M15" s="36"/>
      <c r="N15" s="36"/>
      <c r="O15" s="36"/>
      <c r="P15" s="49"/>
      <c r="Q15" s="50"/>
      <c r="R15" s="51">
        <f>SUM(R16:R17)</f>
        <v>0</v>
      </c>
      <c r="S15" s="49"/>
      <c r="T15" s="49"/>
      <c r="U15" s="52">
        <f t="shared" ref="U15:AB15" si="0">SUM(U16:U17)</f>
        <v>0</v>
      </c>
      <c r="V15" s="52">
        <f t="shared" si="0"/>
        <v>0</v>
      </c>
      <c r="W15" s="52">
        <f t="shared" si="0"/>
        <v>0</v>
      </c>
      <c r="X15" s="52">
        <f t="shared" si="0"/>
        <v>0</v>
      </c>
      <c r="Y15" s="52">
        <f t="shared" si="0"/>
        <v>0</v>
      </c>
      <c r="Z15" s="52">
        <f t="shared" si="0"/>
        <v>0</v>
      </c>
      <c r="AA15" s="52">
        <f t="shared" si="0"/>
        <v>0</v>
      </c>
      <c r="AB15" s="52">
        <f t="shared" si="0"/>
        <v>0</v>
      </c>
      <c r="AC15" s="48"/>
      <c r="AD15" s="48"/>
      <c r="AE15" s="48"/>
    </row>
    <row r="16" spans="1:31" ht="17" x14ac:dyDescent="0.2">
      <c r="A16" s="48"/>
      <c r="B16" s="53"/>
      <c r="C16" s="53"/>
      <c r="D16" s="53"/>
      <c r="E16" s="53"/>
      <c r="F16" s="53"/>
      <c r="G16" s="54"/>
      <c r="H16" s="54"/>
      <c r="I16" s="54"/>
      <c r="J16" s="54"/>
      <c r="K16" s="54"/>
      <c r="L16" s="54"/>
      <c r="M16" s="53"/>
      <c r="N16" s="53"/>
      <c r="O16" s="53"/>
      <c r="P16" s="54"/>
      <c r="Q16" s="55"/>
      <c r="R16" s="56" t="str">
        <f>IF(Q16=0,"",U16/Q16*1000)</f>
        <v/>
      </c>
      <c r="S16" s="57"/>
      <c r="T16" s="57"/>
      <c r="U16" s="58"/>
      <c r="V16" s="58">
        <v>0</v>
      </c>
      <c r="W16" s="58">
        <v>0</v>
      </c>
      <c r="X16" s="58">
        <v>0</v>
      </c>
      <c r="Y16" s="58">
        <v>0</v>
      </c>
      <c r="Z16" s="58">
        <v>0</v>
      </c>
      <c r="AA16" s="58">
        <v>0</v>
      </c>
      <c r="AB16" s="58">
        <f>U16-AA16</f>
        <v>0</v>
      </c>
      <c r="AC16" s="48"/>
      <c r="AD16" s="48"/>
      <c r="AE16" s="48"/>
    </row>
    <row r="17" spans="1:31" ht="17" x14ac:dyDescent="0.2">
      <c r="A17" s="48"/>
      <c r="B17" s="53"/>
      <c r="C17" s="53"/>
      <c r="D17" s="53"/>
      <c r="E17" s="53"/>
      <c r="F17" s="53"/>
      <c r="G17" s="54"/>
      <c r="H17" s="54"/>
      <c r="I17" s="54"/>
      <c r="J17" s="76"/>
      <c r="K17" s="54"/>
      <c r="L17" s="54"/>
      <c r="M17" s="53"/>
      <c r="N17" s="53"/>
      <c r="O17" s="53"/>
      <c r="P17" s="54"/>
      <c r="Q17" s="55"/>
      <c r="R17" s="56" t="str">
        <f>IF(Q17=0,"",U17/Q17*1000)</f>
        <v/>
      </c>
      <c r="S17" s="57"/>
      <c r="T17" s="57"/>
      <c r="U17" s="58"/>
      <c r="V17" s="58">
        <v>0</v>
      </c>
      <c r="W17" s="58">
        <v>0</v>
      </c>
      <c r="X17" s="58">
        <v>0</v>
      </c>
      <c r="Y17" s="58">
        <v>0</v>
      </c>
      <c r="Z17" s="58">
        <v>0</v>
      </c>
      <c r="AA17" s="58">
        <v>0</v>
      </c>
      <c r="AB17" s="58">
        <f>U17-AA17</f>
        <v>0</v>
      </c>
      <c r="AC17" s="48"/>
      <c r="AD17" s="48"/>
      <c r="AE17" s="48"/>
    </row>
    <row r="18" spans="1:31" x14ac:dyDescent="0.2">
      <c r="A18" s="48"/>
      <c r="B18" s="81" t="s">
        <v>38</v>
      </c>
      <c r="C18" s="82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49"/>
      <c r="Q18" s="50"/>
      <c r="R18" s="51">
        <f>SUM(R19:R20)</f>
        <v>0</v>
      </c>
      <c r="S18" s="49"/>
      <c r="T18" s="49"/>
      <c r="U18" s="52">
        <f t="shared" ref="U18:AB18" si="1">SUM(U19:U20)</f>
        <v>0</v>
      </c>
      <c r="V18" s="52">
        <f t="shared" si="1"/>
        <v>0</v>
      </c>
      <c r="W18" s="52">
        <f t="shared" si="1"/>
        <v>0</v>
      </c>
      <c r="X18" s="52">
        <f t="shared" si="1"/>
        <v>0</v>
      </c>
      <c r="Y18" s="52">
        <f t="shared" si="1"/>
        <v>0</v>
      </c>
      <c r="Z18" s="52">
        <f t="shared" si="1"/>
        <v>0</v>
      </c>
      <c r="AA18" s="52">
        <f t="shared" si="1"/>
        <v>0</v>
      </c>
      <c r="AB18" s="52">
        <f t="shared" si="1"/>
        <v>0</v>
      </c>
      <c r="AC18" s="48"/>
      <c r="AD18" s="48"/>
      <c r="AE18" s="48"/>
    </row>
    <row r="19" spans="1:31" ht="17" x14ac:dyDescent="0.2">
      <c r="A19" s="48"/>
      <c r="B19" s="53"/>
      <c r="C19" s="53"/>
      <c r="D19" s="53"/>
      <c r="E19" s="53"/>
      <c r="F19" s="53"/>
      <c r="G19" s="54"/>
      <c r="H19" s="54"/>
      <c r="I19" s="54"/>
      <c r="J19" s="54"/>
      <c r="K19" s="54"/>
      <c r="L19" s="54"/>
      <c r="M19" s="53"/>
      <c r="N19" s="53"/>
      <c r="O19" s="55"/>
      <c r="P19" s="54"/>
      <c r="Q19" s="55"/>
      <c r="R19" s="56" t="str">
        <f>IF(Q19=0,"",U19/Q19*1000)</f>
        <v/>
      </c>
      <c r="S19" s="57"/>
      <c r="T19" s="57"/>
      <c r="U19" s="58"/>
      <c r="V19" s="58">
        <v>0</v>
      </c>
      <c r="W19" s="58">
        <v>0</v>
      </c>
      <c r="X19" s="58">
        <v>0</v>
      </c>
      <c r="Y19" s="58">
        <v>0</v>
      </c>
      <c r="Z19" s="58">
        <v>0</v>
      </c>
      <c r="AA19" s="58">
        <v>0</v>
      </c>
      <c r="AB19" s="58">
        <f>U19-AA19</f>
        <v>0</v>
      </c>
      <c r="AC19" s="48"/>
      <c r="AD19" s="48"/>
      <c r="AE19" s="48"/>
    </row>
    <row r="20" spans="1:31" ht="17" x14ac:dyDescent="0.2">
      <c r="A20" s="48"/>
      <c r="B20" s="53"/>
      <c r="C20" s="53"/>
      <c r="D20" s="53"/>
      <c r="E20" s="53"/>
      <c r="F20" s="53"/>
      <c r="G20" s="54"/>
      <c r="H20" s="54"/>
      <c r="I20" s="54"/>
      <c r="J20" s="54"/>
      <c r="K20" s="54"/>
      <c r="L20" s="54"/>
      <c r="M20" s="53"/>
      <c r="N20" s="53"/>
      <c r="O20" s="55"/>
      <c r="P20" s="54"/>
      <c r="Q20" s="55"/>
      <c r="R20" s="56" t="str">
        <f>IF(Q20=0,"",U20/Q20*1000)</f>
        <v/>
      </c>
      <c r="S20" s="57"/>
      <c r="T20" s="57"/>
      <c r="U20" s="58"/>
      <c r="V20" s="58">
        <v>0</v>
      </c>
      <c r="W20" s="58">
        <v>0</v>
      </c>
      <c r="X20" s="58">
        <v>0</v>
      </c>
      <c r="Y20" s="58">
        <v>0</v>
      </c>
      <c r="Z20" s="58">
        <v>0</v>
      </c>
      <c r="AA20" s="58">
        <v>0</v>
      </c>
      <c r="AB20" s="58">
        <f>U20-AA20</f>
        <v>0</v>
      </c>
      <c r="AC20" s="59"/>
      <c r="AD20" s="48"/>
      <c r="AE20" s="48"/>
    </row>
    <row r="21" spans="1:31" x14ac:dyDescent="0.2">
      <c r="A21" s="48"/>
      <c r="B21" s="81" t="s">
        <v>39</v>
      </c>
      <c r="C21" s="82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49"/>
      <c r="Q21" s="50"/>
      <c r="R21" s="51">
        <f>SUM(R22:R23)</f>
        <v>0</v>
      </c>
      <c r="S21" s="49"/>
      <c r="T21" s="49"/>
      <c r="U21" s="52">
        <f t="shared" ref="U21:AB21" si="2">SUM(U22:U23)</f>
        <v>0</v>
      </c>
      <c r="V21" s="52">
        <f t="shared" si="2"/>
        <v>0</v>
      </c>
      <c r="W21" s="52">
        <f t="shared" si="2"/>
        <v>0</v>
      </c>
      <c r="X21" s="52">
        <f t="shared" si="2"/>
        <v>0</v>
      </c>
      <c r="Y21" s="52">
        <f t="shared" si="2"/>
        <v>0</v>
      </c>
      <c r="Z21" s="52">
        <f t="shared" si="2"/>
        <v>0</v>
      </c>
      <c r="AA21" s="52">
        <f t="shared" si="2"/>
        <v>0</v>
      </c>
      <c r="AB21" s="52">
        <f t="shared" si="2"/>
        <v>0</v>
      </c>
      <c r="AC21" s="48"/>
      <c r="AD21" s="48"/>
      <c r="AE21" s="48"/>
    </row>
    <row r="22" spans="1:31" ht="17" x14ac:dyDescent="0.2">
      <c r="A22" s="48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60"/>
      <c r="N22" s="53"/>
      <c r="O22" s="53"/>
      <c r="P22" s="53"/>
      <c r="Q22" s="55"/>
      <c r="R22" s="56" t="str">
        <f>IF(Q22=0,"",U22/Q22*1000)</f>
        <v/>
      </c>
      <c r="S22" s="57"/>
      <c r="T22" s="57"/>
      <c r="U22" s="58"/>
      <c r="V22" s="58">
        <f>IF(R22="",0,R22/1000*0.0169)</f>
        <v>0</v>
      </c>
      <c r="W22" s="58">
        <f>AB22*0.07</f>
        <v>0</v>
      </c>
      <c r="X22" s="58">
        <v>0</v>
      </c>
      <c r="Y22" s="58">
        <f>IF(R22="",0,(R22/1000)*0.027)</f>
        <v>0</v>
      </c>
      <c r="Z22" s="58">
        <f>IF(R22="",0,(R22/1000)*0.2)</f>
        <v>0</v>
      </c>
      <c r="AA22" s="58">
        <f>SUM(V22,X22,Y22,Z22)*1.3</f>
        <v>0</v>
      </c>
      <c r="AB22" s="58">
        <f>U22-AA22</f>
        <v>0</v>
      </c>
      <c r="AC22" s="48"/>
      <c r="AD22" s="48"/>
      <c r="AE22" s="48"/>
    </row>
    <row r="23" spans="1:31" ht="17" x14ac:dyDescent="0.2">
      <c r="A23" s="48"/>
      <c r="B23" s="53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55"/>
      <c r="R23" s="56" t="str">
        <f>IF(Q23=0,"",U23/Q23*1000)</f>
        <v/>
      </c>
      <c r="S23" s="57"/>
      <c r="T23" s="57"/>
      <c r="U23" s="58"/>
      <c r="V23" s="58">
        <f>IF(R23="",0,R23/1000*0.0169)</f>
        <v>0</v>
      </c>
      <c r="W23" s="58">
        <f>AB23*0.07</f>
        <v>0</v>
      </c>
      <c r="X23" s="58">
        <v>0</v>
      </c>
      <c r="Y23" s="58">
        <f>IF(R23="",0,(R23/1000)*0.027)</f>
        <v>0</v>
      </c>
      <c r="Z23" s="58">
        <f>IF(R23="",0,(R23/1000)*0.2)</f>
        <v>0</v>
      </c>
      <c r="AA23" s="58">
        <f>SUM(V23,X23,Y23,Z23)*1.3</f>
        <v>0</v>
      </c>
      <c r="AB23" s="58">
        <f>U23-AA23</f>
        <v>0</v>
      </c>
      <c r="AC23" s="48"/>
      <c r="AD23" s="48"/>
      <c r="AE23" s="48"/>
    </row>
    <row r="24" spans="1:31" x14ac:dyDescent="0.2">
      <c r="A24" s="48"/>
      <c r="B24" s="81" t="s">
        <v>40</v>
      </c>
      <c r="C24" s="82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49"/>
      <c r="Q24" s="50"/>
      <c r="R24" s="51">
        <f>SUM(R25:R26)</f>
        <v>0</v>
      </c>
      <c r="S24" s="49"/>
      <c r="T24" s="49"/>
      <c r="U24" s="52">
        <f>SUM(U25:U26)</f>
        <v>0</v>
      </c>
      <c r="V24" s="52">
        <f>SUM(V25:V26)</f>
        <v>0</v>
      </c>
      <c r="W24" s="52">
        <f>SUM(W25:W26)</f>
        <v>0</v>
      </c>
      <c r="X24" s="52">
        <f>SUM(X25:X26)</f>
        <v>0</v>
      </c>
      <c r="Y24" s="52">
        <f>SUM(Y25:Y26)</f>
        <v>0</v>
      </c>
      <c r="Z24" s="52">
        <f>SUM(Z25:Z26)</f>
        <v>0</v>
      </c>
      <c r="AA24" s="52">
        <f>SUM(AA25:AA26)</f>
        <v>0</v>
      </c>
      <c r="AB24" s="52">
        <f>SUM(AB25:AB26)</f>
        <v>0</v>
      </c>
      <c r="AC24" s="48"/>
      <c r="AD24" s="48"/>
      <c r="AE24" s="48"/>
    </row>
    <row r="25" spans="1:31" ht="17" x14ac:dyDescent="0.2">
      <c r="A25" s="48"/>
      <c r="B25" s="53"/>
      <c r="C25" s="53"/>
      <c r="D25" s="53"/>
      <c r="E25" s="53"/>
      <c r="F25" s="53"/>
      <c r="G25" s="54"/>
      <c r="H25" s="54"/>
      <c r="I25" s="54"/>
      <c r="J25" s="54"/>
      <c r="K25" s="54"/>
      <c r="L25" s="54"/>
      <c r="M25" s="60"/>
      <c r="N25" s="53"/>
      <c r="O25" s="61"/>
      <c r="P25" s="54"/>
      <c r="Q25" s="55"/>
      <c r="R25" s="56" t="str">
        <f>IF(Q25=0,"",U25/Q25*1000)</f>
        <v/>
      </c>
      <c r="S25" s="57"/>
      <c r="T25" s="57"/>
      <c r="U25" s="58"/>
      <c r="V25" s="58">
        <f>IF(R25="",0,R25/1000*0.0169)</f>
        <v>0</v>
      </c>
      <c r="W25" s="58">
        <v>0</v>
      </c>
      <c r="X25" s="58">
        <v>0</v>
      </c>
      <c r="Y25" s="58">
        <f>IF(R25="",0,(R25/1000)*0.027)</f>
        <v>0</v>
      </c>
      <c r="Z25" s="58">
        <f>IF(R25="",0,(R25/1000)*0.2)</f>
        <v>0</v>
      </c>
      <c r="AA25" s="58">
        <f>SUM(V25,X25,Y25,Z25)*1.3</f>
        <v>0</v>
      </c>
      <c r="AB25" s="58">
        <f>U25-AA25</f>
        <v>0</v>
      </c>
      <c r="AC25" s="48"/>
      <c r="AD25" s="48"/>
      <c r="AE25" s="48"/>
    </row>
    <row r="26" spans="1:31" ht="17" x14ac:dyDescent="0.2">
      <c r="A26" s="48"/>
      <c r="B26" s="53"/>
      <c r="C26" s="76"/>
      <c r="D26" s="76"/>
      <c r="E26" s="53"/>
      <c r="F26" s="53"/>
      <c r="G26" s="54"/>
      <c r="H26" s="54"/>
      <c r="I26" s="54"/>
      <c r="J26" s="76"/>
      <c r="K26" s="54"/>
      <c r="L26" s="54"/>
      <c r="M26" s="60"/>
      <c r="N26" s="53"/>
      <c r="O26" s="61"/>
      <c r="P26" s="54"/>
      <c r="Q26" s="55"/>
      <c r="R26" s="56" t="str">
        <f>IF(Q26=0,"",U26/Q26*1000)</f>
        <v/>
      </c>
      <c r="S26" s="57"/>
      <c r="T26" s="57"/>
      <c r="U26" s="58"/>
      <c r="V26" s="58">
        <f>IF(R26="",0,R26/1000*0.0169)</f>
        <v>0</v>
      </c>
      <c r="W26" s="58">
        <v>0</v>
      </c>
      <c r="X26" s="58">
        <v>0</v>
      </c>
      <c r="Y26" s="58">
        <f>IF(R26="",0,(R26/1000)*0.027)</f>
        <v>0</v>
      </c>
      <c r="Z26" s="58">
        <f>IF(R26="",0,(R26/1000)*0.2)</f>
        <v>0</v>
      </c>
      <c r="AA26" s="58">
        <f>SUM(V26,X26,Y26,Z26)*1.3</f>
        <v>0</v>
      </c>
      <c r="AB26" s="58">
        <f>U26-AA26</f>
        <v>0</v>
      </c>
      <c r="AC26" s="48"/>
      <c r="AD26" s="48"/>
      <c r="AE26" s="48"/>
    </row>
    <row r="27" spans="1:31" x14ac:dyDescent="0.2">
      <c r="A27" s="48"/>
      <c r="B27" s="81" t="s">
        <v>41</v>
      </c>
      <c r="C27" s="82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49"/>
      <c r="Q27" s="50"/>
      <c r="R27" s="51">
        <f>SUM(R28:R29)</f>
        <v>0</v>
      </c>
      <c r="S27" s="49"/>
      <c r="T27" s="49"/>
      <c r="U27" s="52">
        <f t="shared" ref="U27:AB27" si="3">SUM(U28:U29)</f>
        <v>0</v>
      </c>
      <c r="V27" s="52">
        <f t="shared" si="3"/>
        <v>0</v>
      </c>
      <c r="W27" s="52">
        <f t="shared" si="3"/>
        <v>0</v>
      </c>
      <c r="X27" s="52">
        <f t="shared" si="3"/>
        <v>0</v>
      </c>
      <c r="Y27" s="52">
        <f t="shared" si="3"/>
        <v>0</v>
      </c>
      <c r="Z27" s="52">
        <f t="shared" si="3"/>
        <v>0</v>
      </c>
      <c r="AA27" s="52">
        <f t="shared" si="3"/>
        <v>0</v>
      </c>
      <c r="AB27" s="52">
        <f t="shared" si="3"/>
        <v>0</v>
      </c>
      <c r="AC27" s="48"/>
      <c r="AD27" s="48"/>
      <c r="AE27" s="48"/>
    </row>
    <row r="28" spans="1:31" ht="17" x14ac:dyDescent="0.2">
      <c r="A28" s="48"/>
      <c r="B28" s="53"/>
      <c r="C28" s="53"/>
      <c r="D28" s="53"/>
      <c r="E28" s="53"/>
      <c r="F28" s="53"/>
      <c r="G28" s="54"/>
      <c r="H28" s="54"/>
      <c r="I28" s="54"/>
      <c r="J28" s="54"/>
      <c r="K28" s="54"/>
      <c r="L28" s="54"/>
      <c r="M28" s="60"/>
      <c r="N28" s="53"/>
      <c r="O28" s="53"/>
      <c r="P28" s="54"/>
      <c r="Q28" s="55"/>
      <c r="R28" s="56" t="str">
        <f>IF(Q28=0,"",U28/Q28*1000)</f>
        <v/>
      </c>
      <c r="S28" s="57"/>
      <c r="T28" s="57"/>
      <c r="U28" s="58"/>
      <c r="V28" s="58">
        <v>0</v>
      </c>
      <c r="W28" s="58">
        <v>0</v>
      </c>
      <c r="X28" s="58">
        <v>0</v>
      </c>
      <c r="Y28" s="58">
        <f>IF(R28="",0,(R28/1000)*0.027)</f>
        <v>0</v>
      </c>
      <c r="Z28" s="58">
        <f>IF(R28="",0,(R28/1000)*0.1013)</f>
        <v>0</v>
      </c>
      <c r="AA28" s="58">
        <f>SUM(V28:Z28)*1.3</f>
        <v>0</v>
      </c>
      <c r="AB28" s="58">
        <f>U28-AA28</f>
        <v>0</v>
      </c>
      <c r="AC28" s="48"/>
      <c r="AD28" s="48"/>
      <c r="AE28" s="48"/>
    </row>
    <row r="29" spans="1:31" ht="17" x14ac:dyDescent="0.2">
      <c r="A29" s="48"/>
      <c r="B29" s="53"/>
      <c r="C29" s="76"/>
      <c r="D29" s="76"/>
      <c r="E29" s="53"/>
      <c r="F29" s="53"/>
      <c r="G29" s="54"/>
      <c r="H29" s="54"/>
      <c r="I29" s="54"/>
      <c r="J29" s="76"/>
      <c r="K29" s="54"/>
      <c r="L29" s="54"/>
      <c r="M29" s="60"/>
      <c r="N29" s="53"/>
      <c r="O29" s="62"/>
      <c r="P29" s="54"/>
      <c r="Q29" s="55"/>
      <c r="R29" s="56" t="str">
        <f>IF(Q29=0,"",U29/Q29*1000)</f>
        <v/>
      </c>
      <c r="S29" s="57"/>
      <c r="T29" s="57"/>
      <c r="U29" s="58"/>
      <c r="V29" s="58">
        <v>0</v>
      </c>
      <c r="W29" s="58">
        <v>0</v>
      </c>
      <c r="X29" s="58">
        <v>0</v>
      </c>
      <c r="Y29" s="58">
        <f>IF(R29="",0,(R29/1000)*0.027)</f>
        <v>0</v>
      </c>
      <c r="Z29" s="58">
        <f>IF(R29="",0,(R29/1000)*0.1013)</f>
        <v>0</v>
      </c>
      <c r="AA29" s="58">
        <f>SUM(V29:Z29)*1.3</f>
        <v>0</v>
      </c>
      <c r="AB29" s="58">
        <f>U29-AA29</f>
        <v>0</v>
      </c>
      <c r="AC29" s="48"/>
      <c r="AD29" s="48"/>
      <c r="AE29" s="48"/>
    </row>
    <row r="30" spans="1:31" x14ac:dyDescent="0.2">
      <c r="A30" s="48"/>
      <c r="B30" s="77" t="s">
        <v>42</v>
      </c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9"/>
      <c r="R30" s="75">
        <f>R15</f>
        <v>0</v>
      </c>
      <c r="S30" s="80"/>
      <c r="T30" s="78"/>
      <c r="U30" s="64">
        <f>U15</f>
        <v>0</v>
      </c>
      <c r="V30" s="64">
        <f>V15</f>
        <v>0</v>
      </c>
      <c r="W30" s="64">
        <f>W15</f>
        <v>0</v>
      </c>
      <c r="X30" s="64">
        <f>X15</f>
        <v>0</v>
      </c>
      <c r="Y30" s="64">
        <f>Y15</f>
        <v>0</v>
      </c>
      <c r="Z30" s="64">
        <f>Z15</f>
        <v>0</v>
      </c>
      <c r="AA30" s="64">
        <f>AA15</f>
        <v>0</v>
      </c>
      <c r="AB30" s="64">
        <f>AB15</f>
        <v>0</v>
      </c>
      <c r="AC30" s="48"/>
      <c r="AD30" s="48"/>
      <c r="AE30" s="48"/>
    </row>
    <row r="31" spans="1:31" x14ac:dyDescent="0.2">
      <c r="A31" s="48"/>
      <c r="B31" s="77" t="s">
        <v>43</v>
      </c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9"/>
      <c r="R31" s="63">
        <f>R18</f>
        <v>0</v>
      </c>
      <c r="S31" s="80"/>
      <c r="T31" s="78"/>
      <c r="U31" s="64">
        <f>U18</f>
        <v>0</v>
      </c>
      <c r="V31" s="64">
        <f>V18</f>
        <v>0</v>
      </c>
      <c r="W31" s="64">
        <f>W18</f>
        <v>0</v>
      </c>
      <c r="X31" s="64">
        <f>X18</f>
        <v>0</v>
      </c>
      <c r="Y31" s="64">
        <f>Y18</f>
        <v>0</v>
      </c>
      <c r="Z31" s="64">
        <f>Z18</f>
        <v>0</v>
      </c>
      <c r="AA31" s="64">
        <f>AA18</f>
        <v>0</v>
      </c>
      <c r="AB31" s="64">
        <f>AB18</f>
        <v>0</v>
      </c>
      <c r="AC31" s="48"/>
      <c r="AD31" s="48"/>
      <c r="AE31" s="48"/>
    </row>
    <row r="32" spans="1:31" x14ac:dyDescent="0.2">
      <c r="A32" s="48"/>
      <c r="B32" s="77" t="s">
        <v>44</v>
      </c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9"/>
      <c r="R32" s="63">
        <f>R21</f>
        <v>0</v>
      </c>
      <c r="S32" s="80"/>
      <c r="T32" s="78"/>
      <c r="U32" s="64">
        <f>U21</f>
        <v>0</v>
      </c>
      <c r="V32" s="64">
        <f>V21</f>
        <v>0</v>
      </c>
      <c r="W32" s="64">
        <f>W21</f>
        <v>0</v>
      </c>
      <c r="X32" s="64">
        <f>X21</f>
        <v>0</v>
      </c>
      <c r="Y32" s="64">
        <f>Y21</f>
        <v>0</v>
      </c>
      <c r="Z32" s="64">
        <f>Z21</f>
        <v>0</v>
      </c>
      <c r="AA32" s="64">
        <f>AA21</f>
        <v>0</v>
      </c>
      <c r="AB32" s="64">
        <f>AB21</f>
        <v>0</v>
      </c>
      <c r="AC32" s="48"/>
      <c r="AD32" s="48"/>
      <c r="AE32" s="48"/>
    </row>
    <row r="33" spans="1:31" x14ac:dyDescent="0.2">
      <c r="A33" s="48"/>
      <c r="B33" s="77" t="s">
        <v>45</v>
      </c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9"/>
      <c r="R33" s="63">
        <f>R24</f>
        <v>0</v>
      </c>
      <c r="S33" s="80"/>
      <c r="T33" s="78"/>
      <c r="U33" s="64">
        <f>U24</f>
        <v>0</v>
      </c>
      <c r="V33" s="64">
        <f>V24</f>
        <v>0</v>
      </c>
      <c r="W33" s="64">
        <f>W24</f>
        <v>0</v>
      </c>
      <c r="X33" s="64">
        <f>X24</f>
        <v>0</v>
      </c>
      <c r="Y33" s="64">
        <f>Y24</f>
        <v>0</v>
      </c>
      <c r="Z33" s="64">
        <f>Z24</f>
        <v>0</v>
      </c>
      <c r="AA33" s="64">
        <f>AA24</f>
        <v>0</v>
      </c>
      <c r="AB33" s="64">
        <f>AB24</f>
        <v>0</v>
      </c>
      <c r="AC33" s="48"/>
      <c r="AD33" s="48"/>
      <c r="AE33" s="48"/>
    </row>
    <row r="34" spans="1:31" x14ac:dyDescent="0.2">
      <c r="A34" s="48"/>
      <c r="B34" s="77" t="s">
        <v>46</v>
      </c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9"/>
      <c r="R34" s="63">
        <f>R27</f>
        <v>0</v>
      </c>
      <c r="S34" s="80"/>
      <c r="T34" s="78"/>
      <c r="U34" s="64">
        <f t="shared" ref="U34:AB34" si="4">U27</f>
        <v>0</v>
      </c>
      <c r="V34" s="64">
        <f t="shared" si="4"/>
        <v>0</v>
      </c>
      <c r="W34" s="64">
        <f t="shared" si="4"/>
        <v>0</v>
      </c>
      <c r="X34" s="64">
        <f t="shared" si="4"/>
        <v>0</v>
      </c>
      <c r="Y34" s="64">
        <f t="shared" si="4"/>
        <v>0</v>
      </c>
      <c r="Z34" s="64">
        <f t="shared" si="4"/>
        <v>0</v>
      </c>
      <c r="AA34" s="64">
        <f t="shared" si="4"/>
        <v>0</v>
      </c>
      <c r="AB34" s="64">
        <f t="shared" si="4"/>
        <v>0</v>
      </c>
      <c r="AC34" s="48"/>
      <c r="AD34" s="48"/>
      <c r="AE34" s="48"/>
    </row>
    <row r="35" spans="1:31" x14ac:dyDescent="0.2">
      <c r="A35" s="48"/>
      <c r="B35" s="83" t="s">
        <v>47</v>
      </c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2"/>
      <c r="R35" s="65">
        <f>SUM(R30:R34)</f>
        <v>0</v>
      </c>
      <c r="S35" s="87"/>
      <c r="T35" s="82"/>
      <c r="U35" s="66">
        <f t="shared" ref="U35:AB35" si="5">SUM(U30:U34)</f>
        <v>0</v>
      </c>
      <c r="V35" s="66">
        <f t="shared" si="5"/>
        <v>0</v>
      </c>
      <c r="W35" s="66">
        <f t="shared" si="5"/>
        <v>0</v>
      </c>
      <c r="X35" s="66">
        <f t="shared" si="5"/>
        <v>0</v>
      </c>
      <c r="Y35" s="66">
        <f t="shared" si="5"/>
        <v>0</v>
      </c>
      <c r="Z35" s="66">
        <f t="shared" si="5"/>
        <v>0</v>
      </c>
      <c r="AA35" s="66">
        <f t="shared" si="5"/>
        <v>0</v>
      </c>
      <c r="AB35" s="66">
        <f t="shared" si="5"/>
        <v>0</v>
      </c>
      <c r="AC35" s="48"/>
      <c r="AD35" s="48"/>
      <c r="AE35" s="48"/>
    </row>
    <row r="36" spans="1:31" x14ac:dyDescent="0.2">
      <c r="A36" s="48"/>
      <c r="B36" s="48"/>
      <c r="C36" s="48" t="s">
        <v>48</v>
      </c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67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</row>
    <row r="37" spans="1:31" x14ac:dyDescent="0.2">
      <c r="A37" s="48"/>
      <c r="B37" s="48"/>
      <c r="C37" s="48" t="s">
        <v>49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67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</row>
    <row r="38" spans="1:31" x14ac:dyDescent="0.2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67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</row>
    <row r="39" spans="1:31" x14ac:dyDescent="0.2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67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</row>
    <row r="40" spans="1:31" x14ac:dyDescent="0.2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67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</row>
    <row r="41" spans="1:31" x14ac:dyDescent="0.2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67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</row>
    <row r="42" spans="1:31" x14ac:dyDescent="0.2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67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</row>
    <row r="43" spans="1:31" x14ac:dyDescent="0.2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67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</row>
    <row r="44" spans="1:31" x14ac:dyDescent="0.2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67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</row>
    <row r="45" spans="1:31" x14ac:dyDescent="0.2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67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</row>
    <row r="46" spans="1:31" x14ac:dyDescent="0.2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67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</row>
    <row r="47" spans="1:31" x14ac:dyDescent="0.2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67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</row>
    <row r="48" spans="1:31" x14ac:dyDescent="0.2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67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</row>
    <row r="49" spans="1:31" x14ac:dyDescent="0.2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67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</row>
    <row r="50" spans="1:31" x14ac:dyDescent="0.2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67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</row>
    <row r="51" spans="1:31" x14ac:dyDescent="0.2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67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</row>
    <row r="52" spans="1:31" x14ac:dyDescent="0.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67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</row>
    <row r="53" spans="1:31" x14ac:dyDescent="0.2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67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</row>
    <row r="54" spans="1:31" x14ac:dyDescent="0.2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67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</row>
    <row r="55" spans="1:31" x14ac:dyDescent="0.2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67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</row>
    <row r="56" spans="1:31" x14ac:dyDescent="0.2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67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</row>
    <row r="57" spans="1:31" x14ac:dyDescent="0.2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67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</row>
    <row r="58" spans="1:31" x14ac:dyDescent="0.2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67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</row>
    <row r="59" spans="1:31" x14ac:dyDescent="0.2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67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</row>
    <row r="60" spans="1:31" x14ac:dyDescent="0.2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67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</row>
    <row r="61" spans="1:31" x14ac:dyDescent="0.2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67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</row>
    <row r="62" spans="1:31" x14ac:dyDescent="0.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67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</row>
    <row r="63" spans="1:31" x14ac:dyDescent="0.2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67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</row>
    <row r="64" spans="1:31" x14ac:dyDescent="0.2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67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</row>
    <row r="65" spans="1:31" x14ac:dyDescent="0.2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67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</row>
    <row r="66" spans="1:31" x14ac:dyDescent="0.2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67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</row>
    <row r="67" spans="1:31" x14ac:dyDescent="0.2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67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</row>
    <row r="68" spans="1:31" x14ac:dyDescent="0.2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67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</row>
    <row r="69" spans="1:31" x14ac:dyDescent="0.2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67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</row>
    <row r="70" spans="1:31" x14ac:dyDescent="0.2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67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</row>
    <row r="71" spans="1:31" x14ac:dyDescent="0.2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67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</row>
    <row r="72" spans="1:31" x14ac:dyDescent="0.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67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</row>
    <row r="73" spans="1:31" x14ac:dyDescent="0.2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67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</row>
    <row r="74" spans="1:31" x14ac:dyDescent="0.2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67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</row>
    <row r="75" spans="1:31" x14ac:dyDescent="0.2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67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</row>
    <row r="76" spans="1:31" x14ac:dyDescent="0.2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67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</row>
    <row r="77" spans="1:31" x14ac:dyDescent="0.2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67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</row>
    <row r="78" spans="1:31" x14ac:dyDescent="0.2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67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</row>
    <row r="79" spans="1:31" x14ac:dyDescent="0.2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67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</row>
    <row r="80" spans="1:31" x14ac:dyDescent="0.2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67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</row>
    <row r="81" spans="1:31" x14ac:dyDescent="0.2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67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</row>
    <row r="82" spans="1:31" x14ac:dyDescent="0.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67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</row>
    <row r="83" spans="1:31" x14ac:dyDescent="0.2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67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</row>
    <row r="84" spans="1:31" x14ac:dyDescent="0.2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67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</row>
    <row r="85" spans="1:31" x14ac:dyDescent="0.2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67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</row>
    <row r="86" spans="1:31" x14ac:dyDescent="0.2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67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</row>
  </sheetData>
  <mergeCells count="17">
    <mergeCell ref="S35:T35"/>
    <mergeCell ref="B32:Q32"/>
    <mergeCell ref="S30:T30"/>
    <mergeCell ref="B35:Q35"/>
    <mergeCell ref="B15:C15"/>
    <mergeCell ref="B31:Q31"/>
    <mergeCell ref="B30:Q30"/>
    <mergeCell ref="B34:Q34"/>
    <mergeCell ref="B27:C27"/>
    <mergeCell ref="B18:C18"/>
    <mergeCell ref="B33:Q33"/>
    <mergeCell ref="S34:T34"/>
    <mergeCell ref="B21:C21"/>
    <mergeCell ref="B24:C24"/>
    <mergeCell ref="S33:T33"/>
    <mergeCell ref="S31:T31"/>
    <mergeCell ref="S32:T32"/>
  </mergeCells>
  <pageMargins left="0.7" right="0.7" top="0.75" bottom="0.75" header="0.511811023622047" footer="0.511811023622047"/>
  <pageSetup paperSize="3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67"/>
  <sheetViews>
    <sheetView zoomScaleNormal="100" workbookViewId="0">
      <selection activeCell="B3" sqref="B3"/>
    </sheetView>
  </sheetViews>
  <sheetFormatPr baseColWidth="10" defaultColWidth="8.83203125" defaultRowHeight="15" x14ac:dyDescent="0.2"/>
  <cols>
    <col min="2" max="2" width="31.1640625" customWidth="1"/>
    <col min="3" max="3" width="20.83203125" customWidth="1"/>
    <col min="4" max="4" width="41.5" customWidth="1"/>
    <col min="5" max="6" width="61.6640625" customWidth="1"/>
  </cols>
  <sheetData>
    <row r="2" spans="1:6" ht="15.75" customHeight="1" x14ac:dyDescent="0.2">
      <c r="B2" s="68" t="s">
        <v>11</v>
      </c>
      <c r="C2" s="68" t="s">
        <v>50</v>
      </c>
      <c r="D2" s="68" t="s">
        <v>51</v>
      </c>
      <c r="E2" s="68" t="s">
        <v>52</v>
      </c>
      <c r="F2" s="68" t="s">
        <v>53</v>
      </c>
    </row>
    <row r="3" spans="1:6" ht="15.75" customHeight="1" x14ac:dyDescent="0.2">
      <c r="A3" s="91" t="s">
        <v>54</v>
      </c>
      <c r="B3" s="88" t="s">
        <v>55</v>
      </c>
      <c r="C3" s="88" t="s">
        <v>56</v>
      </c>
      <c r="D3" s="88" t="s">
        <v>57</v>
      </c>
      <c r="E3" s="1" t="s">
        <v>58</v>
      </c>
      <c r="F3" s="93" t="s">
        <v>59</v>
      </c>
    </row>
    <row r="4" spans="1:6" ht="15.75" customHeight="1" x14ac:dyDescent="0.2">
      <c r="A4" s="92"/>
      <c r="B4" s="89"/>
      <c r="C4" s="89"/>
      <c r="D4" s="89"/>
      <c r="E4" s="69" t="s">
        <v>60</v>
      </c>
      <c r="F4" s="89"/>
    </row>
    <row r="5" spans="1:6" ht="15.75" customHeight="1" x14ac:dyDescent="0.2">
      <c r="A5" s="92"/>
      <c r="B5" s="89"/>
      <c r="C5" s="89"/>
      <c r="D5" s="89"/>
      <c r="E5" s="69" t="s">
        <v>61</v>
      </c>
      <c r="F5" s="89"/>
    </row>
    <row r="6" spans="1:6" ht="15.75" customHeight="1" x14ac:dyDescent="0.2">
      <c r="A6" s="92"/>
      <c r="B6" s="89"/>
      <c r="C6" s="89"/>
      <c r="D6" s="89"/>
      <c r="E6" s="69" t="s">
        <v>62</v>
      </c>
      <c r="F6" s="89"/>
    </row>
    <row r="7" spans="1:6" ht="15.75" customHeight="1" x14ac:dyDescent="0.2">
      <c r="A7" s="92"/>
      <c r="B7" s="89"/>
      <c r="C7" s="89"/>
      <c r="D7" s="89"/>
      <c r="E7" s="69" t="s">
        <v>63</v>
      </c>
      <c r="F7" s="89"/>
    </row>
    <row r="8" spans="1:6" ht="31.5" customHeight="1" x14ac:dyDescent="0.2">
      <c r="A8" s="92"/>
      <c r="B8" s="90"/>
      <c r="C8" s="90"/>
      <c r="D8" s="90"/>
      <c r="E8" s="70" t="s">
        <v>64</v>
      </c>
      <c r="F8" s="89"/>
    </row>
    <row r="9" spans="1:6" ht="15.75" customHeight="1" x14ac:dyDescent="0.2">
      <c r="A9" s="92"/>
      <c r="B9" s="2" t="s">
        <v>55</v>
      </c>
      <c r="C9" s="2" t="s">
        <v>56</v>
      </c>
      <c r="D9" s="2" t="s">
        <v>57</v>
      </c>
      <c r="E9" s="2" t="s">
        <v>65</v>
      </c>
      <c r="F9" s="89"/>
    </row>
    <row r="10" spans="1:6" ht="15.75" customHeight="1" x14ac:dyDescent="0.2">
      <c r="A10" s="92"/>
      <c r="B10" s="2" t="s">
        <v>55</v>
      </c>
      <c r="C10" s="2" t="s">
        <v>56</v>
      </c>
      <c r="D10" s="2" t="s">
        <v>57</v>
      </c>
      <c r="E10" s="2" t="s">
        <v>66</v>
      </c>
      <c r="F10" s="89"/>
    </row>
    <row r="11" spans="1:6" ht="15.75" customHeight="1" x14ac:dyDescent="0.2">
      <c r="A11" s="92"/>
      <c r="B11" s="1" t="s">
        <v>55</v>
      </c>
      <c r="C11" s="1" t="s">
        <v>56</v>
      </c>
      <c r="D11" s="1" t="s">
        <v>57</v>
      </c>
      <c r="E11" s="1" t="s">
        <v>67</v>
      </c>
      <c r="F11" s="89"/>
    </row>
    <row r="12" spans="1:6" ht="15" customHeight="1" x14ac:dyDescent="0.2">
      <c r="B12" s="71"/>
      <c r="C12" s="71"/>
      <c r="D12" s="71"/>
      <c r="E12" s="71"/>
      <c r="F12" s="71"/>
    </row>
    <row r="13" spans="1:6" ht="15" customHeight="1" x14ac:dyDescent="0.2">
      <c r="B13" s="71"/>
      <c r="C13" s="71"/>
      <c r="D13" s="71"/>
      <c r="E13" s="71"/>
      <c r="F13" s="71"/>
    </row>
    <row r="14" spans="1:6" ht="15" customHeight="1" x14ac:dyDescent="0.2">
      <c r="B14" s="71"/>
      <c r="C14" s="71"/>
      <c r="D14" s="71"/>
      <c r="E14" s="71"/>
      <c r="F14" s="71"/>
    </row>
    <row r="15" spans="1:6" ht="15" customHeight="1" x14ac:dyDescent="0.2">
      <c r="B15" s="71"/>
      <c r="C15" s="71"/>
      <c r="D15" s="71"/>
      <c r="E15" s="71"/>
      <c r="F15" s="71"/>
    </row>
    <row r="16" spans="1:6" ht="15" customHeight="1" x14ac:dyDescent="0.2">
      <c r="B16" s="71"/>
      <c r="C16" s="71"/>
      <c r="D16" s="71"/>
      <c r="E16" s="71"/>
      <c r="F16" s="71"/>
    </row>
    <row r="17" spans="2:6" ht="15" customHeight="1" x14ac:dyDescent="0.2">
      <c r="B17" s="71"/>
      <c r="C17" s="71"/>
      <c r="D17" s="71"/>
      <c r="E17" s="71"/>
      <c r="F17" s="71"/>
    </row>
    <row r="18" spans="2:6" ht="15" customHeight="1" x14ac:dyDescent="0.2">
      <c r="B18" s="71"/>
      <c r="C18" s="71"/>
      <c r="D18" s="71"/>
      <c r="E18" s="71"/>
      <c r="F18" s="71"/>
    </row>
    <row r="19" spans="2:6" ht="15" customHeight="1" x14ac:dyDescent="0.2">
      <c r="B19" s="71"/>
      <c r="C19" s="71"/>
      <c r="D19" s="71"/>
      <c r="E19" s="71"/>
      <c r="F19" s="71"/>
    </row>
    <row r="20" spans="2:6" ht="15" customHeight="1" x14ac:dyDescent="0.2">
      <c r="B20" s="71"/>
      <c r="C20" s="71"/>
      <c r="D20" s="71"/>
      <c r="E20" s="71"/>
      <c r="F20" s="71"/>
    </row>
    <row r="21" spans="2:6" ht="15" customHeight="1" x14ac:dyDescent="0.2">
      <c r="B21" s="71"/>
      <c r="C21" s="71"/>
      <c r="D21" s="71"/>
      <c r="E21" s="71"/>
      <c r="F21" s="71"/>
    </row>
    <row r="22" spans="2:6" ht="15" customHeight="1" x14ac:dyDescent="0.2">
      <c r="B22" s="71"/>
      <c r="C22" s="71"/>
      <c r="D22" s="71"/>
      <c r="E22" s="71"/>
      <c r="F22" s="71"/>
    </row>
    <row r="23" spans="2:6" ht="15" customHeight="1" x14ac:dyDescent="0.2">
      <c r="B23" s="71"/>
      <c r="C23" s="71"/>
      <c r="D23" s="71"/>
      <c r="E23" s="71"/>
      <c r="F23" s="71"/>
    </row>
    <row r="24" spans="2:6" ht="15" customHeight="1" x14ac:dyDescent="0.2">
      <c r="B24" s="71"/>
      <c r="C24" s="71"/>
      <c r="D24" s="71"/>
      <c r="E24" s="71"/>
      <c r="F24" s="71"/>
    </row>
    <row r="25" spans="2:6" ht="15" customHeight="1" x14ac:dyDescent="0.2">
      <c r="B25" s="71"/>
      <c r="C25" s="71"/>
      <c r="D25" s="71"/>
      <c r="E25" s="71"/>
      <c r="F25" s="71"/>
    </row>
    <row r="26" spans="2:6" ht="15" customHeight="1" x14ac:dyDescent="0.2">
      <c r="B26" s="71"/>
      <c r="C26" s="71"/>
      <c r="D26" s="71"/>
      <c r="E26" s="71"/>
      <c r="F26" s="71"/>
    </row>
    <row r="27" spans="2:6" ht="15" customHeight="1" x14ac:dyDescent="0.2">
      <c r="B27" s="71"/>
      <c r="C27" s="71"/>
      <c r="D27" s="71"/>
      <c r="E27" s="71"/>
      <c r="F27" s="71"/>
    </row>
    <row r="28" spans="2:6" ht="15" customHeight="1" x14ac:dyDescent="0.2">
      <c r="B28" s="71"/>
      <c r="C28" s="71"/>
      <c r="D28" s="71"/>
      <c r="E28" s="71"/>
      <c r="F28" s="71"/>
    </row>
    <row r="29" spans="2:6" ht="15" customHeight="1" x14ac:dyDescent="0.2">
      <c r="B29" s="71"/>
      <c r="C29" s="71"/>
      <c r="D29" s="71"/>
      <c r="E29" s="71"/>
      <c r="F29" s="71"/>
    </row>
    <row r="30" spans="2:6" ht="15" customHeight="1" x14ac:dyDescent="0.2">
      <c r="B30" s="71"/>
      <c r="C30" s="71"/>
      <c r="D30" s="71"/>
      <c r="E30" s="71"/>
      <c r="F30" s="71"/>
    </row>
    <row r="31" spans="2:6" ht="15" customHeight="1" x14ac:dyDescent="0.2">
      <c r="B31" s="71"/>
      <c r="C31" s="71"/>
      <c r="D31" s="71"/>
      <c r="E31" s="71"/>
      <c r="F31" s="71"/>
    </row>
    <row r="32" spans="2:6" ht="15" customHeight="1" x14ac:dyDescent="0.2">
      <c r="B32" s="71"/>
      <c r="C32" s="71"/>
      <c r="D32" s="71"/>
      <c r="E32" s="71"/>
      <c r="F32" s="71"/>
    </row>
    <row r="33" spans="2:6" ht="15" customHeight="1" x14ac:dyDescent="0.2">
      <c r="B33" s="71"/>
      <c r="C33" s="71"/>
      <c r="D33" s="71"/>
      <c r="E33" s="71"/>
      <c r="F33" s="71"/>
    </row>
    <row r="34" spans="2:6" ht="15" customHeight="1" x14ac:dyDescent="0.2">
      <c r="B34" s="71"/>
      <c r="C34" s="71"/>
      <c r="D34" s="71"/>
      <c r="E34" s="71"/>
      <c r="F34" s="71"/>
    </row>
    <row r="35" spans="2:6" ht="15" customHeight="1" x14ac:dyDescent="0.2">
      <c r="B35" s="71"/>
      <c r="C35" s="71"/>
      <c r="D35" s="71"/>
      <c r="E35" s="71"/>
      <c r="F35" s="71"/>
    </row>
    <row r="36" spans="2:6" ht="15" customHeight="1" x14ac:dyDescent="0.2">
      <c r="B36" s="71"/>
      <c r="C36" s="71"/>
      <c r="D36" s="71"/>
      <c r="E36" s="71"/>
      <c r="F36" s="71"/>
    </row>
    <row r="37" spans="2:6" ht="15" customHeight="1" x14ac:dyDescent="0.2">
      <c r="B37" s="71"/>
      <c r="C37" s="71"/>
      <c r="D37" s="71"/>
      <c r="E37" s="72"/>
      <c r="F37" s="71"/>
    </row>
    <row r="38" spans="2:6" ht="15" customHeight="1" x14ac:dyDescent="0.2">
      <c r="B38" s="71"/>
      <c r="C38" s="71"/>
      <c r="D38" s="71"/>
      <c r="E38" s="71"/>
      <c r="F38" s="71"/>
    </row>
    <row r="39" spans="2:6" ht="15" customHeight="1" x14ac:dyDescent="0.2">
      <c r="B39" s="71"/>
      <c r="C39" s="71"/>
      <c r="D39" s="71"/>
      <c r="E39" s="72"/>
      <c r="F39" s="71"/>
    </row>
    <row r="40" spans="2:6" ht="15" customHeight="1" x14ac:dyDescent="0.2">
      <c r="B40" s="71"/>
      <c r="C40" s="71"/>
      <c r="D40" s="71"/>
      <c r="E40" s="71"/>
      <c r="F40" s="71"/>
    </row>
    <row r="41" spans="2:6" ht="15" customHeight="1" x14ac:dyDescent="0.2">
      <c r="B41" s="71"/>
      <c r="C41" s="71"/>
      <c r="D41" s="71"/>
      <c r="E41" s="71"/>
      <c r="F41" s="71"/>
    </row>
    <row r="42" spans="2:6" ht="15" customHeight="1" x14ac:dyDescent="0.2">
      <c r="B42" s="71"/>
      <c r="C42" s="71"/>
      <c r="D42" s="71"/>
      <c r="E42" s="71"/>
      <c r="F42" s="71"/>
    </row>
    <row r="43" spans="2:6" ht="15" customHeight="1" x14ac:dyDescent="0.2">
      <c r="B43" s="71"/>
      <c r="C43" s="71"/>
      <c r="D43" s="71"/>
      <c r="E43" s="71"/>
      <c r="F43" s="71"/>
    </row>
    <row r="44" spans="2:6" ht="15" customHeight="1" x14ac:dyDescent="0.2">
      <c r="B44" s="71"/>
      <c r="C44" s="71"/>
      <c r="D44" s="71"/>
      <c r="E44" s="71"/>
      <c r="F44" s="71"/>
    </row>
    <row r="45" spans="2:6" ht="15" customHeight="1" x14ac:dyDescent="0.2">
      <c r="B45" s="71"/>
      <c r="C45" s="71"/>
      <c r="D45" s="71"/>
      <c r="E45" s="73"/>
      <c r="F45" s="71"/>
    </row>
    <row r="46" spans="2:6" ht="15" customHeight="1" x14ac:dyDescent="0.2">
      <c r="B46" s="71"/>
      <c r="C46" s="71"/>
      <c r="D46" s="71"/>
      <c r="E46" s="74"/>
      <c r="F46" s="71"/>
    </row>
    <row r="47" spans="2:6" ht="15" customHeight="1" x14ac:dyDescent="0.2">
      <c r="B47" s="71"/>
      <c r="C47" s="71"/>
      <c r="D47" s="71"/>
      <c r="E47" s="74"/>
      <c r="F47" s="71"/>
    </row>
    <row r="48" spans="2:6" ht="15" customHeight="1" x14ac:dyDescent="0.2">
      <c r="B48" s="71"/>
      <c r="C48" s="71"/>
      <c r="D48" s="71"/>
      <c r="E48" s="74"/>
      <c r="F48" s="71"/>
    </row>
    <row r="49" spans="2:6" ht="15" customHeight="1" x14ac:dyDescent="0.2">
      <c r="B49" s="71"/>
      <c r="C49" s="71"/>
      <c r="D49" s="71"/>
      <c r="E49" s="74"/>
      <c r="F49" s="71"/>
    </row>
    <row r="50" spans="2:6" ht="15" customHeight="1" x14ac:dyDescent="0.2">
      <c r="B50" s="71"/>
      <c r="C50" s="71"/>
      <c r="D50" s="71"/>
      <c r="E50" s="74"/>
      <c r="F50" s="71"/>
    </row>
    <row r="51" spans="2:6" ht="15" customHeight="1" x14ac:dyDescent="0.2">
      <c r="B51" s="71"/>
      <c r="C51" s="71"/>
      <c r="D51" s="71"/>
      <c r="E51" s="74"/>
      <c r="F51" s="71"/>
    </row>
    <row r="52" spans="2:6" ht="15" customHeight="1" x14ac:dyDescent="0.2">
      <c r="B52" s="71"/>
      <c r="C52" s="71"/>
      <c r="D52" s="71"/>
      <c r="E52" s="74"/>
      <c r="F52" s="71"/>
    </row>
    <row r="53" spans="2:6" ht="15" customHeight="1" x14ac:dyDescent="0.2">
      <c r="B53" s="71"/>
      <c r="C53" s="71"/>
      <c r="D53" s="71"/>
      <c r="E53" s="74"/>
      <c r="F53" s="71"/>
    </row>
    <row r="54" spans="2:6" ht="15" customHeight="1" x14ac:dyDescent="0.2">
      <c r="B54" s="71"/>
      <c r="C54" s="71"/>
      <c r="D54" s="71"/>
      <c r="E54" s="74"/>
      <c r="F54" s="71"/>
    </row>
    <row r="55" spans="2:6" ht="15" customHeight="1" x14ac:dyDescent="0.2">
      <c r="B55" s="71"/>
      <c r="C55" s="71"/>
      <c r="D55" s="71"/>
      <c r="E55" s="74"/>
      <c r="F55" s="71"/>
    </row>
    <row r="56" spans="2:6" ht="15" customHeight="1" x14ac:dyDescent="0.2">
      <c r="B56" s="71"/>
      <c r="C56" s="71"/>
      <c r="D56" s="71"/>
      <c r="E56" s="74"/>
      <c r="F56" s="71"/>
    </row>
    <row r="57" spans="2:6" ht="15" customHeight="1" x14ac:dyDescent="0.2">
      <c r="B57" s="71"/>
      <c r="C57" s="71"/>
      <c r="D57" s="71"/>
      <c r="E57" s="72"/>
      <c r="F57" s="71"/>
    </row>
    <row r="58" spans="2:6" ht="15" customHeight="1" x14ac:dyDescent="0.2">
      <c r="B58" s="71"/>
      <c r="C58" s="71"/>
      <c r="D58" s="71"/>
      <c r="E58" s="71"/>
      <c r="F58" s="71"/>
    </row>
    <row r="59" spans="2:6" ht="15" customHeight="1" x14ac:dyDescent="0.2">
      <c r="B59" s="71"/>
      <c r="C59" s="71"/>
      <c r="D59" s="71"/>
      <c r="E59" s="71"/>
      <c r="F59" s="71"/>
    </row>
    <row r="60" spans="2:6" ht="15" customHeight="1" x14ac:dyDescent="0.2">
      <c r="B60" s="71"/>
      <c r="C60" s="71"/>
      <c r="D60" s="71"/>
      <c r="E60" s="71"/>
      <c r="F60" s="71"/>
    </row>
    <row r="61" spans="2:6" ht="15" customHeight="1" x14ac:dyDescent="0.2">
      <c r="B61" s="71"/>
      <c r="C61" s="71"/>
      <c r="D61" s="71"/>
      <c r="E61" s="71"/>
      <c r="F61" s="71"/>
    </row>
    <row r="62" spans="2:6" ht="15" customHeight="1" x14ac:dyDescent="0.2">
      <c r="B62" s="71"/>
      <c r="C62" s="71"/>
      <c r="D62" s="71"/>
      <c r="E62" s="72"/>
      <c r="F62" s="71"/>
    </row>
    <row r="63" spans="2:6" ht="15" customHeight="1" x14ac:dyDescent="0.2">
      <c r="B63" s="71"/>
      <c r="C63" s="71"/>
      <c r="D63" s="71"/>
      <c r="E63" s="71"/>
      <c r="F63" s="71"/>
    </row>
    <row r="64" spans="2:6" ht="15" customHeight="1" x14ac:dyDescent="0.2">
      <c r="B64" s="71"/>
      <c r="C64" s="71"/>
      <c r="D64" s="71"/>
      <c r="E64" s="71"/>
      <c r="F64" s="71"/>
    </row>
    <row r="65" spans="2:6" ht="15" customHeight="1" x14ac:dyDescent="0.2">
      <c r="B65" s="71"/>
      <c r="C65" s="71"/>
      <c r="D65" s="71"/>
      <c r="E65" s="73"/>
      <c r="F65" s="71"/>
    </row>
    <row r="66" spans="2:6" ht="15" customHeight="1" x14ac:dyDescent="0.2">
      <c r="B66" s="71"/>
      <c r="C66" s="71"/>
      <c r="D66" s="71"/>
      <c r="E66" s="74"/>
      <c r="F66" s="71"/>
    </row>
    <row r="67" spans="2:6" ht="15" customHeight="1" x14ac:dyDescent="0.2">
      <c r="B67" s="71"/>
      <c r="C67" s="71"/>
      <c r="D67" s="71"/>
      <c r="E67" s="74"/>
      <c r="F67" s="71"/>
    </row>
  </sheetData>
  <mergeCells count="5">
    <mergeCell ref="C3:C8"/>
    <mergeCell ref="B3:B8"/>
    <mergeCell ref="D3:D8"/>
    <mergeCell ref="A3:A11"/>
    <mergeCell ref="F3:F1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zoomScale="70" zoomScaleNormal="70" workbookViewId="0">
      <selection activeCell="H1" sqref="A1:XFD2"/>
    </sheetView>
  </sheetViews>
  <sheetFormatPr baseColWidth="10" defaultColWidth="8.83203125" defaultRowHeight="15" x14ac:dyDescent="0.2"/>
  <sheetData>
    <row r="1" ht="15.75" customHeight="1" x14ac:dyDescent="0.2"/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Blocking Chart</vt:lpstr>
      <vt:lpstr>Targeting Digital</vt:lpstr>
      <vt:lpstr>Targeting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Carlton Jacob (PHD Media)</dc:creator>
  <cp:lastModifiedBy>Lucus Dato (Omnicom)</cp:lastModifiedBy>
  <cp:revision>0</cp:revision>
  <dcterms:created xsi:type="dcterms:W3CDTF">2024-09-24T14:50:56Z</dcterms:created>
  <dcterms:modified xsi:type="dcterms:W3CDTF">2026-03-07T22:26:13Z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0x010100E378BB92EEB2A145A79C64826753F547</vt:lpwstr>
  </property>
  <property fmtid="{D5CDD505-2E9C-101B-9397-08002B2CF9AE}" pid="4" name="MSIP_Label_8e19d756-792e-42a1-bcad-4cb9051ddd2d_ActionId">
    <vt:lpwstr>85a4f8f8-7f36-4762-8ab0-2b1f5907999a</vt:lpwstr>
  </property>
  <property fmtid="{D5CDD505-2E9C-101B-9397-08002B2CF9AE}" pid="5" name="MSIP_Label_8e19d756-792e-42a1-bcad-4cb9051ddd2d_ContentBits">
    <vt:lpwstr>2</vt:lpwstr>
  </property>
  <property fmtid="{D5CDD505-2E9C-101B-9397-08002B2CF9AE}" pid="6" name="MSIP_Label_8e19d756-792e-42a1-bcad-4cb9051ddd2d_Enabled">
    <vt:lpwstr>true</vt:lpwstr>
  </property>
  <property fmtid="{D5CDD505-2E9C-101B-9397-08002B2CF9AE}" pid="7" name="MSIP_Label_8e19d756-792e-42a1-bcad-4cb9051ddd2d_Method">
    <vt:lpwstr>Standard</vt:lpwstr>
  </property>
  <property fmtid="{D5CDD505-2E9C-101B-9397-08002B2CF9AE}" pid="8" name="MSIP_Label_8e19d756-792e-42a1-bcad-4cb9051ddd2d_Name">
    <vt:lpwstr>Confidential</vt:lpwstr>
  </property>
  <property fmtid="{D5CDD505-2E9C-101B-9397-08002B2CF9AE}" pid="9" name="MSIP_Label_8e19d756-792e-42a1-bcad-4cb9051ddd2d_SetDate">
    <vt:lpwstr>2024-09-24T14:51:24Z</vt:lpwstr>
  </property>
  <property fmtid="{D5CDD505-2E9C-101B-9397-08002B2CF9AE}" pid="10" name="MSIP_Label_8e19d756-792e-42a1-bcad-4cb9051ddd2d_SiteId">
    <vt:lpwstr>41eb501a-f671-4ce0-a5bf-b64168c3705f</vt:lpwstr>
  </property>
  <property fmtid="{D5CDD505-2E9C-101B-9397-08002B2CF9AE}" pid="11" name="MediaServiceImageTags">
    <vt:lpwstr/>
  </property>
  <property fmtid="{D5CDD505-2E9C-101B-9397-08002B2CF9AE}" pid="12" name="Order">
    <vt:r8>49200</vt:r8>
  </property>
  <property fmtid="{D5CDD505-2E9C-101B-9397-08002B2CF9AE}" pid="13" name="TriggerFlowInfo">
    <vt:lpwstr/>
  </property>
  <property fmtid="{D5CDD505-2E9C-101B-9397-08002B2CF9AE}" pid="14" name="_ExtendedDescription">
    <vt:lpwstr/>
  </property>
</Properties>
</file>